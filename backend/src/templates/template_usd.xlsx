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bogdansitkiv/Documents/Гринлайн /"/>
    </mc:Choice>
  </mc:AlternateContent>
  <xr:revisionPtr revIDLastSave="0" documentId="8_{1EFA8E7C-32F3-4AAB-A657-140BEE8EAE89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Y4" i="2"/>
  <c r="M5" i="2"/>
  <c r="M6" i="2"/>
  <c r="M7" i="2"/>
  <c r="M8" i="2"/>
  <c r="M9" i="2"/>
  <c r="M10" i="2"/>
  <c r="M11" i="2"/>
  <c r="M12" i="2"/>
  <c r="D27" i="2"/>
  <c r="C13" i="2"/>
  <c r="F10" i="2"/>
  <c r="F16" i="2"/>
  <c r="G13" i="2" l="1"/>
  <c r="B7" i="2"/>
  <c r="E6" i="2"/>
  <c r="E19" i="2" s="1"/>
  <c r="K13" i="2" s="1"/>
  <c r="L13" i="2" s="1"/>
  <c r="C15" i="2"/>
  <c r="L12" i="2" l="1"/>
  <c r="L2" i="2"/>
  <c r="L3" i="2"/>
  <c r="L4" i="2"/>
  <c r="L5" i="2"/>
  <c r="L6" i="2"/>
  <c r="L7" i="2"/>
  <c r="L8" i="2"/>
  <c r="L9" i="2"/>
  <c r="L10" i="2"/>
  <c r="L11" i="2"/>
  <c r="L14" i="2"/>
  <c r="S11" i="2" l="1"/>
  <c r="T11" i="2"/>
  <c r="S10" i="2"/>
  <c r="T10" i="2"/>
  <c r="S9" i="2"/>
  <c r="T9" i="2"/>
  <c r="S8" i="2"/>
  <c r="T8" i="2"/>
  <c r="S7" i="2"/>
  <c r="T7" i="2"/>
  <c r="S6" i="2"/>
  <c r="T6" i="2"/>
  <c r="S5" i="2"/>
  <c r="T5" i="2"/>
  <c r="S4" i="2"/>
  <c r="T4" i="2"/>
  <c r="S3" i="2"/>
  <c r="T3" i="2"/>
  <c r="S2" i="2"/>
  <c r="T2" i="2"/>
  <c r="S12" i="2"/>
  <c r="T12" i="2"/>
  <c r="O2" i="2"/>
  <c r="O3" i="2"/>
  <c r="O4" i="2"/>
  <c r="O5" i="2"/>
  <c r="O6" i="2"/>
  <c r="O7" i="2"/>
  <c r="O8" i="2"/>
  <c r="O9" i="2"/>
  <c r="O10" i="2"/>
  <c r="O11" i="2"/>
  <c r="O12" i="2"/>
  <c r="T14" i="2" l="1"/>
  <c r="S14" i="2"/>
  <c r="N12" i="2" s="1"/>
  <c r="P12" i="2" s="1"/>
  <c r="N2" i="2"/>
  <c r="P2" i="2" s="1"/>
  <c r="N3" i="2"/>
  <c r="P3" i="2" s="1"/>
  <c r="N4" i="2"/>
  <c r="P4" i="2" s="1"/>
  <c r="N5" i="2"/>
  <c r="P5" i="2" s="1"/>
  <c r="N6" i="2"/>
  <c r="P6" i="2" s="1"/>
  <c r="N7" i="2"/>
  <c r="P7" i="2" s="1"/>
  <c r="N8" i="2"/>
  <c r="P8" i="2" s="1"/>
  <c r="N9" i="2"/>
  <c r="P9" i="2" s="1"/>
  <c r="N10" i="2"/>
  <c r="P10" i="2" s="1"/>
  <c r="N11" i="2"/>
  <c r="P11" i="2" s="1"/>
  <c r="C28" i="2"/>
  <c r="C7" i="2"/>
  <c r="C8" i="2" l="1"/>
  <c r="C29" i="2"/>
  <c r="F30" i="2" s="1"/>
  <c r="C35" i="2"/>
  <c r="F58" i="2" l="1"/>
  <c r="D14" i="2" l="1"/>
  <c r="X2" i="2" l="1"/>
  <c r="X3" i="2"/>
  <c r="X4" i="2"/>
  <c r="X5" i="2"/>
  <c r="X6" i="2"/>
  <c r="X7" i="2"/>
  <c r="X8" i="2"/>
  <c r="X9" i="2"/>
  <c r="X10" i="2"/>
  <c r="X11" i="2"/>
  <c r="X12" i="2"/>
  <c r="F63" i="2"/>
  <c r="E50" i="2"/>
  <c r="C50" i="2" s="1"/>
  <c r="C49" i="2"/>
  <c r="C52" i="2" s="1"/>
  <c r="C36" i="2"/>
  <c r="V12" i="2" l="1"/>
  <c r="W12" i="2"/>
  <c r="AB12" i="2" s="1"/>
  <c r="AC12" i="2"/>
  <c r="V11" i="2"/>
  <c r="W11" i="2"/>
  <c r="AB11" i="2" s="1"/>
  <c r="AC11" i="2"/>
  <c r="V10" i="2"/>
  <c r="W10" i="2"/>
  <c r="AB10" i="2" s="1"/>
  <c r="AC10" i="2"/>
  <c r="V9" i="2"/>
  <c r="W9" i="2"/>
  <c r="AB9" i="2" s="1"/>
  <c r="AC9" i="2"/>
  <c r="V8" i="2"/>
  <c r="W8" i="2"/>
  <c r="AB8" i="2" s="1"/>
  <c r="AC8" i="2"/>
  <c r="V7" i="2"/>
  <c r="W7" i="2"/>
  <c r="AB7" i="2" s="1"/>
  <c r="AC7" i="2"/>
  <c r="V6" i="2"/>
  <c r="W6" i="2"/>
  <c r="AB6" i="2" s="1"/>
  <c r="AC6" i="2"/>
  <c r="V5" i="2"/>
  <c r="W5" i="2"/>
  <c r="AB5" i="2" s="1"/>
  <c r="AC5" i="2"/>
  <c r="V4" i="2"/>
  <c r="W4" i="2"/>
  <c r="AB4" i="2" s="1"/>
  <c r="AC4" i="2"/>
  <c r="V3" i="2"/>
  <c r="W3" i="2"/>
  <c r="AB3" i="2" s="1"/>
  <c r="AC3" i="2"/>
  <c r="V2" i="2"/>
  <c r="W2" i="2"/>
  <c r="AB2" i="2" s="1"/>
  <c r="AC2" i="2"/>
  <c r="AC14" i="2" s="1"/>
  <c r="X14" i="2"/>
  <c r="C37" i="2"/>
  <c r="C38" i="2" s="1"/>
  <c r="U2" i="2" l="1"/>
  <c r="Z2" i="2" s="1"/>
  <c r="AA2" i="2"/>
  <c r="V14" i="2"/>
  <c r="U3" i="2"/>
  <c r="Z3" i="2" s="1"/>
  <c r="AA3" i="2"/>
  <c r="U4" i="2"/>
  <c r="Z4" i="2" s="1"/>
  <c r="AA4" i="2"/>
  <c r="U5" i="2"/>
  <c r="Z5" i="2" s="1"/>
  <c r="AA5" i="2"/>
  <c r="U6" i="2"/>
  <c r="Z6" i="2" s="1"/>
  <c r="AA6" i="2"/>
  <c r="U7" i="2"/>
  <c r="Z7" i="2" s="1"/>
  <c r="AA7" i="2"/>
  <c r="U8" i="2"/>
  <c r="Z8" i="2" s="1"/>
  <c r="AA8" i="2"/>
  <c r="U9" i="2"/>
  <c r="Z9" i="2" s="1"/>
  <c r="AA9" i="2"/>
  <c r="U10" i="2"/>
  <c r="Z10" i="2" s="1"/>
  <c r="AA10" i="2"/>
  <c r="U11" i="2"/>
  <c r="Z11" i="2" s="1"/>
  <c r="AA11" i="2"/>
  <c r="U12" i="2"/>
  <c r="Z12" i="2" s="1"/>
  <c r="AA12" i="2"/>
  <c r="C43" i="2"/>
  <c r="C39" i="2"/>
  <c r="C40" i="2"/>
  <c r="C14" i="2"/>
  <c r="AA14" i="2" l="1"/>
  <c r="C44" i="2"/>
  <c r="F41" i="2"/>
  <c r="C42" i="2" s="1"/>
  <c r="C41" i="2"/>
  <c r="C45" i="2" l="1"/>
  <c r="D41" i="2"/>
  <c r="E36" i="2" s="1"/>
  <c r="F44" i="2" s="1"/>
  <c r="D44" i="2" l="1"/>
  <c r="C46" i="2" s="1"/>
  <c r="C55" i="2" s="1"/>
  <c r="C56" i="2" l="1"/>
  <c r="C58" i="2" s="1"/>
  <c r="C60" i="2" l="1"/>
  <c r="C62" i="2"/>
</calcChain>
</file>

<file path=xl/sharedStrings.xml><?xml version="1.0" encoding="utf-8"?>
<sst xmlns="http://schemas.openxmlformats.org/spreadsheetml/2006/main" count="111" uniqueCount="95">
  <si>
    <t>Анализ рентабельности проекта</t>
  </si>
  <si>
    <t>Наименование проекта:</t>
  </si>
  <si>
    <t xml:space="preserve">Товар </t>
  </si>
  <si>
    <t xml:space="preserve">кол-во </t>
  </si>
  <si>
    <t>стоимость за ед</t>
  </si>
  <si>
    <t>сумма</t>
  </si>
  <si>
    <t>Коэфицент</t>
  </si>
  <si>
    <t>КОД ТН ВЭД</t>
  </si>
  <si>
    <t>Пошлина</t>
  </si>
  <si>
    <t>Пошлина в Рублях</t>
  </si>
  <si>
    <t>Таможенный НДС</t>
  </si>
  <si>
    <t>Цена за ед. без НДС</t>
  </si>
  <si>
    <t>Сумма без НДС</t>
  </si>
  <si>
    <t>Цена за ед. с НДС</t>
  </si>
  <si>
    <t>Сумма с НДС</t>
  </si>
  <si>
    <t xml:space="preserve">Для подачи </t>
  </si>
  <si>
    <t>Товар 1</t>
  </si>
  <si>
    <t>EUR</t>
  </si>
  <si>
    <t>Дата</t>
  </si>
  <si>
    <t>НДС</t>
  </si>
  <si>
    <t>Запчасти для лунахода</t>
  </si>
  <si>
    <t>Товар 2</t>
  </si>
  <si>
    <t xml:space="preserve">Курс </t>
  </si>
  <si>
    <t>1.</t>
  </si>
  <si>
    <t>Закупка</t>
  </si>
  <si>
    <t>Онлайн обновление с ЦБ</t>
  </si>
  <si>
    <t>Товар 3</t>
  </si>
  <si>
    <t>Коэф</t>
  </si>
  <si>
    <t>Товар 4</t>
  </si>
  <si>
    <t>Валюта, курс закупки:</t>
  </si>
  <si>
    <t>Товар 5</t>
  </si>
  <si>
    <t>RUB</t>
  </si>
  <si>
    <t>Товар 6</t>
  </si>
  <si>
    <t>Сумма закупа в рублях</t>
  </si>
  <si>
    <t>Товар 7</t>
  </si>
  <si>
    <t>Срок производства (Мес.):</t>
  </si>
  <si>
    <t>USD</t>
  </si>
  <si>
    <t>Товар 8</t>
  </si>
  <si>
    <t>Условия оплаты:</t>
  </si>
  <si>
    <t>Предоплата:</t>
  </si>
  <si>
    <t>Перед отгрузкой:</t>
  </si>
  <si>
    <t xml:space="preserve">GBP </t>
  </si>
  <si>
    <t>Товар 9</t>
  </si>
  <si>
    <t>CNY</t>
  </si>
  <si>
    <t>Товар 10</t>
  </si>
  <si>
    <t>2.</t>
  </si>
  <si>
    <t>Продажа</t>
  </si>
  <si>
    <t>Товар 11</t>
  </si>
  <si>
    <t>Валюта продажи:</t>
  </si>
  <si>
    <t>Рубли</t>
  </si>
  <si>
    <t>Услуги Агента</t>
  </si>
  <si>
    <t>Продажа с НДС</t>
  </si>
  <si>
    <t>Тотал</t>
  </si>
  <si>
    <t>Срок поставки (Мес.):</t>
  </si>
  <si>
    <t>3.</t>
  </si>
  <si>
    <t>Логистика</t>
  </si>
  <si>
    <t>Доствка до РФ</t>
  </si>
  <si>
    <t>Срок доставки до РФ</t>
  </si>
  <si>
    <t xml:space="preserve">Комиссия за перевод </t>
  </si>
  <si>
    <t>Доставка по РФ</t>
  </si>
  <si>
    <t>Срок достаки по РФ</t>
  </si>
  <si>
    <t>Отсрочка оплаты заказчика:</t>
  </si>
  <si>
    <t>Таможня</t>
  </si>
  <si>
    <t>Дней на оформление</t>
  </si>
  <si>
    <t xml:space="preserve">Сертификация </t>
  </si>
  <si>
    <t>Инвестиции</t>
  </si>
  <si>
    <t>Стоимость денег (Мес.):</t>
  </si>
  <si>
    <t>Предоплата поставщику:</t>
  </si>
  <si>
    <t xml:space="preserve">Сумма заемных средств </t>
  </si>
  <si>
    <t>Предоплата от заказчика:</t>
  </si>
  <si>
    <t>Авансовый НДС</t>
  </si>
  <si>
    <t>Остаток после аванса</t>
  </si>
  <si>
    <t>на оплату перед отгрузкой отгрузкой:</t>
  </si>
  <si>
    <t>Требуемые средства на предоплату:</t>
  </si>
  <si>
    <t>Требуемые средства на доставку:</t>
  </si>
  <si>
    <t>Ост</t>
  </si>
  <si>
    <t xml:space="preserve">Требуемые средства на таможне </t>
  </si>
  <si>
    <t>Стоимость денег на предоплату:</t>
  </si>
  <si>
    <t>Стоимость денег на отгрузку:</t>
  </si>
  <si>
    <t xml:space="preserve">Затраты </t>
  </si>
  <si>
    <t xml:space="preserve">Кредит на таможню </t>
  </si>
  <si>
    <t>Итого стоимость денег:</t>
  </si>
  <si>
    <t>Прочие расходы</t>
  </si>
  <si>
    <t>Операционная деятельность</t>
  </si>
  <si>
    <t>***</t>
  </si>
  <si>
    <t>Прочие незапланированные</t>
  </si>
  <si>
    <t>Итого прочие расходы:</t>
  </si>
  <si>
    <t>Расчет прибыли проекта</t>
  </si>
  <si>
    <t>Выручка:</t>
  </si>
  <si>
    <t>Вручка компании за вычетом НДС:</t>
  </si>
  <si>
    <t xml:space="preserve">Наценка </t>
  </si>
  <si>
    <t>Себестоимость</t>
  </si>
  <si>
    <t>Прибыль компании за вычетом налога на прибыль:</t>
  </si>
  <si>
    <t>Рентабильность проекта:</t>
  </si>
  <si>
    <t xml:space="preserve">% доли *** в прибыли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</si>
</sst>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* #,##0.00\ &quot;₽&quot;_-;\-* #,##0.00\ &quot;₽&quot;_-;_-* &quot;-&quot;??\ &quot;₽&quot;_-;_-@_-"/>
    <numFmt numFmtId="164" formatCode="_-* #,##0.00\ &quot;RUB&quot;_-;\-* #,##0.00\ &quot;RUB&quot;_-;_-* &quot;-&quot;??\ &quot;RUB&quot;_-;_-@"/>
    <numFmt numFmtId="165" formatCode="#,##0.00\ &quot;RUB&quot;"/>
    <numFmt numFmtId="166" formatCode="#,##0.00\ [$€-1]"/>
    <numFmt numFmtId="167" formatCode="_-* #,##0.00_р_._-;\-* #,##0.00_р_._-;_-* &quot;-&quot;??_р_._-;_-@"/>
    <numFmt numFmtId="168" formatCode="0.0%"/>
    <numFmt numFmtId="169" formatCode="#,##0.00_ ;[Red]\-#,##0.00\ "/>
    <numFmt numFmtId="170" formatCode="_-[$£-809]* #,##0.00_-;\-[$£-809]* #,##0.00_-;_-[$£-809]* &quot;-&quot;??_-;_-@_-"/>
    <numFmt numFmtId="171" formatCode="_-[$€-2]\ * #,##0.00_-;\-[$€-2]\ * #,##0.00_-;_-[$€-2]\ * &quot;-&quot;??_-;_-@_-"/>
    <numFmt numFmtId="172" formatCode="_-[$$-409]* #,##0.00_ ;_-[$$-409]* \-#,##0.00\ ;_-[$$-409]* &quot;-&quot;??_ ;_-@_ "/>
    <numFmt numFmtId="173" formatCode="_ [$¥-804]* #,##0.00_ ;_ [$¥-804]* \-#,##0.00_ ;_ [$¥-804]* &quot;-&quot;??_ ;_ @_ "/>
    <numFmt numFmtId="174" formatCode="_-* #,##0.00\ _₽_-;\-* #,##0.00\ _₽_-;_-* &quot;-&quot;??\ _₽_-;_-@_-"/>
    <numFmt numFmtId="175" formatCode="_-* #,##0.00\ [$₽-419]_-;\-* #,##0.00\ [$₽-419]_-;_-* &quot;-&quot;??\ [$₽-419]_-;_-@_-"/>
    <numFmt numFmtId="176" formatCode="0.0"/>
  </numFmts>
  <fonts count="23">
    <font>
      <sz val="8"/>
      <color rgb="FF000000"/>
      <name val="Calibri"/>
      <scheme val="minor"/>
    </font>
    <font>
      <b/>
      <sz val="8"/>
      <color theme="1"/>
      <name val="Arial"/>
      <family val="2"/>
    </font>
    <font>
      <sz val="8"/>
      <name val="Calibri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2C363A"/>
      <name val="Arial"/>
      <family val="2"/>
    </font>
    <font>
      <sz val="8"/>
      <color rgb="FF000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 val="singleAccounting"/>
      <sz val="8"/>
      <name val="Calibri"/>
      <family val="2"/>
    </font>
    <font>
      <b/>
      <i/>
      <sz val="9"/>
      <name val="Calibri"/>
      <family val="2"/>
    </font>
    <font>
      <sz val="10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rgb="FF000000"/>
      <name val="Calibri"/>
      <family val="2"/>
      <scheme val="minor"/>
    </font>
    <font>
      <b/>
      <sz val="8"/>
      <color rgb="FF000000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8"/>
      <color theme="6" tint="-0.249977111117893"/>
      <name val="Arial"/>
      <family val="2"/>
    </font>
    <font>
      <b/>
      <sz val="8"/>
      <color theme="6" tint="-0.249977111117893"/>
      <name val="Arial"/>
      <family val="2"/>
    </font>
    <font>
      <b/>
      <sz val="9"/>
      <color theme="6" tint="-0.249977111117893"/>
      <name val="Arial"/>
      <family val="2"/>
    </font>
    <font>
      <b/>
      <sz val="9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rgb="FF8DB3E2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rgb="FF8DB3E2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Dashed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/>
      <diagonal style="dotted">
        <color indexed="64"/>
      </diagonal>
    </border>
    <border diagonalUp="1">
      <left style="medium">
        <color indexed="64"/>
      </left>
      <right style="thin">
        <color indexed="64"/>
      </right>
      <top/>
      <bottom/>
      <diagonal style="dotted">
        <color indexed="64"/>
      </diagonal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25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9" fontId="6" fillId="3" borderId="8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left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8" fillId="0" borderId="20" xfId="0" applyFont="1" applyBorder="1"/>
    <xf numFmtId="0" fontId="6" fillId="0" borderId="7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169" fontId="3" fillId="3" borderId="7" xfId="0" applyNumberFormat="1" applyFont="1" applyFill="1" applyBorder="1" applyAlignment="1">
      <alignment horizontal="center" vertical="center" wrapText="1"/>
    </xf>
    <xf numFmtId="168" fontId="3" fillId="3" borderId="7" xfId="2" applyNumberFormat="1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168" fontId="3" fillId="3" borderId="27" xfId="2" applyNumberFormat="1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9" fontId="6" fillId="3" borderId="22" xfId="0" applyNumberFormat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4" fontId="10" fillId="0" borderId="7" xfId="0" applyNumberFormat="1" applyFont="1" applyBorder="1"/>
    <xf numFmtId="0" fontId="0" fillId="5" borderId="13" xfId="0" applyFill="1" applyBorder="1"/>
    <xf numFmtId="0" fontId="8" fillId="6" borderId="14" xfId="0" applyFont="1" applyFill="1" applyBorder="1"/>
    <xf numFmtId="0" fontId="8" fillId="6" borderId="15" xfId="0" applyFont="1" applyFill="1" applyBorder="1"/>
    <xf numFmtId="0" fontId="8" fillId="6" borderId="16" xfId="0" applyFont="1" applyFill="1" applyBorder="1"/>
    <xf numFmtId="4" fontId="10" fillId="6" borderId="23" xfId="0" applyNumberFormat="1" applyFont="1" applyFill="1" applyBorder="1"/>
    <xf numFmtId="0" fontId="6" fillId="6" borderId="26" xfId="0" applyFont="1" applyFill="1" applyBorder="1" applyAlignment="1">
      <alignment horizontal="left" vertical="center" wrapText="1"/>
    </xf>
    <xf numFmtId="0" fontId="6" fillId="6" borderId="29" xfId="0" applyFont="1" applyFill="1" applyBorder="1" applyAlignment="1">
      <alignment horizontal="left" vertical="center" wrapText="1"/>
    </xf>
    <xf numFmtId="169" fontId="2" fillId="6" borderId="29" xfId="0" applyNumberFormat="1" applyFont="1" applyFill="1" applyBorder="1"/>
    <xf numFmtId="0" fontId="6" fillId="6" borderId="21" xfId="0" applyFont="1" applyFill="1" applyBorder="1" applyAlignment="1">
      <alignment horizontal="left" vertical="center" wrapText="1"/>
    </xf>
    <xf numFmtId="175" fontId="12" fillId="6" borderId="7" xfId="0" applyNumberFormat="1" applyFont="1" applyFill="1" applyBorder="1"/>
    <xf numFmtId="169" fontId="12" fillId="6" borderId="7" xfId="0" applyNumberFormat="1" applyFont="1" applyFill="1" applyBorder="1"/>
    <xf numFmtId="0" fontId="0" fillId="5" borderId="31" xfId="0" applyFill="1" applyBorder="1"/>
    <xf numFmtId="0" fontId="13" fillId="6" borderId="14" xfId="0" applyFont="1" applyFill="1" applyBorder="1"/>
    <xf numFmtId="169" fontId="13" fillId="5" borderId="27" xfId="0" applyNumberFormat="1" applyFont="1" applyFill="1" applyBorder="1"/>
    <xf numFmtId="174" fontId="13" fillId="6" borderId="32" xfId="0" applyNumberFormat="1" applyFont="1" applyFill="1" applyBorder="1"/>
    <xf numFmtId="174" fontId="14" fillId="7" borderId="16" xfId="0" applyNumberFormat="1" applyFont="1" applyFill="1" applyBorder="1"/>
    <xf numFmtId="44" fontId="0" fillId="0" borderId="0" xfId="1" applyFont="1"/>
    <xf numFmtId="44" fontId="0" fillId="0" borderId="0" xfId="0" applyNumberFormat="1"/>
    <xf numFmtId="0" fontId="0" fillId="0" borderId="0" xfId="0"/>
    <xf numFmtId="0" fontId="6" fillId="0" borderId="29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2" fontId="0" fillId="6" borderId="34" xfId="0" applyNumberFormat="1" applyFill="1" applyBorder="1"/>
    <xf numFmtId="0" fontId="15" fillId="8" borderId="33" xfId="0" applyFont="1" applyFill="1" applyBorder="1" applyAlignment="1">
      <alignment horizontal="left" vertical="center" wrapText="1"/>
    </xf>
    <xf numFmtId="9" fontId="15" fillId="8" borderId="33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left" vertical="center" wrapText="1"/>
    </xf>
    <xf numFmtId="44" fontId="3" fillId="0" borderId="27" xfId="1" applyFont="1" applyBorder="1" applyAlignment="1">
      <alignment horizontal="center" vertical="center" wrapText="1"/>
    </xf>
    <xf numFmtId="9" fontId="3" fillId="0" borderId="27" xfId="0" applyNumberFormat="1" applyFont="1" applyBorder="1" applyAlignment="1">
      <alignment horizontal="center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44" fontId="3" fillId="0" borderId="7" xfId="1" applyFont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165" fontId="1" fillId="0" borderId="22" xfId="0" applyNumberFormat="1" applyFont="1" applyBorder="1" applyAlignment="1">
      <alignment horizontal="center" vertical="center" wrapText="1"/>
    </xf>
    <xf numFmtId="166" fontId="3" fillId="0" borderId="22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44" fontId="3" fillId="4" borderId="7" xfId="1" applyFont="1" applyFill="1" applyBorder="1" applyAlignment="1">
      <alignment horizontal="center" vertical="center" wrapText="1"/>
    </xf>
    <xf numFmtId="9" fontId="3" fillId="4" borderId="7" xfId="0" applyNumberFormat="1" applyFont="1" applyFill="1" applyBorder="1" applyAlignment="1">
      <alignment horizontal="center" vertical="center" wrapText="1"/>
    </xf>
    <xf numFmtId="166" fontId="3" fillId="0" borderId="7" xfId="0" applyNumberFormat="1" applyFont="1" applyBorder="1" applyAlignment="1">
      <alignment horizontal="center" vertical="center" wrapText="1"/>
    </xf>
    <xf numFmtId="9" fontId="3" fillId="5" borderId="21" xfId="0" applyNumberFormat="1" applyFont="1" applyFill="1" applyBorder="1" applyAlignment="1">
      <alignment horizontal="center" vertical="center" wrapText="1"/>
    </xf>
    <xf numFmtId="44" fontId="0" fillId="6" borderId="36" xfId="1" applyFont="1" applyFill="1" applyBorder="1"/>
    <xf numFmtId="44" fontId="0" fillId="6" borderId="37" xfId="1" applyFont="1" applyFill="1" applyBorder="1"/>
    <xf numFmtId="0" fontId="3" fillId="9" borderId="38" xfId="0" applyFont="1" applyFill="1" applyBorder="1" applyAlignment="1">
      <alignment horizontal="center" vertical="center" wrapText="1"/>
    </xf>
    <xf numFmtId="0" fontId="3" fillId="9" borderId="33" xfId="0" applyFont="1" applyFill="1" applyBorder="1" applyAlignment="1">
      <alignment horizontal="left" vertical="center" wrapText="1"/>
    </xf>
    <xf numFmtId="0" fontId="0" fillId="0" borderId="13" xfId="0" applyBorder="1"/>
    <xf numFmtId="0" fontId="0" fillId="0" borderId="30" xfId="0" applyBorder="1"/>
    <xf numFmtId="0" fontId="0" fillId="0" borderId="21" xfId="0" applyBorder="1"/>
    <xf numFmtId="0" fontId="0" fillId="0" borderId="22" xfId="0" applyBorder="1"/>
    <xf numFmtId="44" fontId="14" fillId="0" borderId="22" xfId="0" applyNumberFormat="1" applyFont="1" applyBorder="1"/>
    <xf numFmtId="44" fontId="14" fillId="0" borderId="23" xfId="0" applyNumberFormat="1" applyFont="1" applyBorder="1"/>
    <xf numFmtId="0" fontId="8" fillId="0" borderId="40" xfId="0" applyFont="1" applyBorder="1"/>
    <xf numFmtId="0" fontId="8" fillId="0" borderId="41" xfId="0" applyFont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4" fontId="0" fillId="6" borderId="45" xfId="1" applyFont="1" applyFill="1" applyBorder="1"/>
    <xf numFmtId="44" fontId="0" fillId="6" borderId="46" xfId="1" applyFont="1" applyFill="1" applyBorder="1"/>
    <xf numFmtId="0" fontId="8" fillId="0" borderId="0" xfId="0" applyFont="1"/>
    <xf numFmtId="0" fontId="8" fillId="0" borderId="7" xfId="0" applyFont="1" applyFill="1" applyBorder="1"/>
    <xf numFmtId="0" fontId="0" fillId="0" borderId="35" xfId="0" applyBorder="1"/>
    <xf numFmtId="0" fontId="3" fillId="0" borderId="47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44" fontId="3" fillId="0" borderId="7" xfId="0" applyNumberFormat="1" applyFont="1" applyBorder="1" applyAlignment="1">
      <alignment horizontal="left" vertical="center" wrapText="1"/>
    </xf>
    <xf numFmtId="44" fontId="3" fillId="3" borderId="7" xfId="1" applyFont="1" applyFill="1" applyBorder="1" applyAlignment="1">
      <alignment horizontal="center" vertical="center" wrapText="1"/>
    </xf>
    <xf numFmtId="0" fontId="8" fillId="0" borderId="49" xfId="0" applyFont="1" applyBorder="1"/>
    <xf numFmtId="44" fontId="0" fillId="6" borderId="50" xfId="1" applyFont="1" applyFill="1" applyBorder="1"/>
    <xf numFmtId="44" fontId="0" fillId="6" borderId="51" xfId="1" applyFont="1" applyFill="1" applyBorder="1"/>
    <xf numFmtId="44" fontId="0" fillId="6" borderId="52" xfId="1" applyFont="1" applyFill="1" applyBorder="1"/>
    <xf numFmtId="44" fontId="16" fillId="0" borderId="0" xfId="0" applyNumberFormat="1" applyFont="1"/>
    <xf numFmtId="2" fontId="0" fillId="6" borderId="51" xfId="0" applyNumberFormat="1" applyFill="1" applyBorder="1"/>
    <xf numFmtId="2" fontId="0" fillId="6" borderId="56" xfId="0" applyNumberFormat="1" applyFill="1" applyBorder="1"/>
    <xf numFmtId="0" fontId="0" fillId="0" borderId="57" xfId="0" applyBorder="1"/>
    <xf numFmtId="0" fontId="0" fillId="0" borderId="58" xfId="0" applyBorder="1"/>
    <xf numFmtId="174" fontId="0" fillId="0" borderId="58" xfId="0" applyNumberFormat="1" applyBorder="1"/>
    <xf numFmtId="0" fontId="0" fillId="0" borderId="59" xfId="0" applyBorder="1"/>
    <xf numFmtId="174" fontId="0" fillId="0" borderId="55" xfId="0" applyNumberFormat="1" applyBorder="1"/>
    <xf numFmtId="0" fontId="8" fillId="8" borderId="14" xfId="0" applyFont="1" applyFill="1" applyBorder="1" applyAlignment="1">
      <alignment horizontal="center"/>
    </xf>
    <xf numFmtId="0" fontId="8" fillId="8" borderId="16" xfId="0" applyFont="1" applyFill="1" applyBorder="1" applyAlignment="1">
      <alignment horizontal="center"/>
    </xf>
    <xf numFmtId="44" fontId="0" fillId="8" borderId="20" xfId="0" applyNumberFormat="1" applyFill="1" applyBorder="1"/>
    <xf numFmtId="44" fontId="0" fillId="8" borderId="39" xfId="0" applyNumberFormat="1" applyFill="1" applyBorder="1"/>
    <xf numFmtId="44" fontId="0" fillId="8" borderId="17" xfId="0" applyNumberFormat="1" applyFill="1" applyBorder="1"/>
    <xf numFmtId="44" fontId="0" fillId="8" borderId="19" xfId="0" applyNumberFormat="1" applyFill="1" applyBorder="1"/>
    <xf numFmtId="0" fontId="0" fillId="8" borderId="29" xfId="0" applyFill="1" applyBorder="1"/>
    <xf numFmtId="0" fontId="0" fillId="8" borderId="30" xfId="0" applyFill="1" applyBorder="1"/>
    <xf numFmtId="44" fontId="14" fillId="8" borderId="21" xfId="0" applyNumberFormat="1" applyFont="1" applyFill="1" applyBorder="1"/>
    <xf numFmtId="44" fontId="14" fillId="8" borderId="23" xfId="0" applyNumberFormat="1" applyFont="1" applyFill="1" applyBorder="1"/>
    <xf numFmtId="0" fontId="8" fillId="8" borderId="60" xfId="0" applyFont="1" applyFill="1" applyBorder="1" applyAlignment="1">
      <alignment horizontal="center"/>
    </xf>
    <xf numFmtId="44" fontId="0" fillId="8" borderId="61" xfId="0" applyNumberFormat="1" applyFill="1" applyBorder="1"/>
    <xf numFmtId="44" fontId="0" fillId="8" borderId="24" xfId="0" applyNumberFormat="1" applyFill="1" applyBorder="1"/>
    <xf numFmtId="0" fontId="8" fillId="8" borderId="62" xfId="0" applyFont="1" applyFill="1" applyBorder="1" applyAlignment="1">
      <alignment horizontal="center"/>
    </xf>
    <xf numFmtId="44" fontId="0" fillId="8" borderId="63" xfId="1" applyFont="1" applyFill="1" applyBorder="1"/>
    <xf numFmtId="44" fontId="0" fillId="8" borderId="64" xfId="1" applyFont="1" applyFill="1" applyBorder="1"/>
    <xf numFmtId="4" fontId="0" fillId="10" borderId="13" xfId="0" applyNumberFormat="1" applyFill="1" applyBorder="1"/>
    <xf numFmtId="44" fontId="14" fillId="8" borderId="13" xfId="0" applyNumberFormat="1" applyFont="1" applyFill="1" applyBorder="1"/>
    <xf numFmtId="4" fontId="14" fillId="8" borderId="13" xfId="0" applyNumberFormat="1" applyFont="1" applyFill="1" applyBorder="1"/>
    <xf numFmtId="0" fontId="0" fillId="0" borderId="0" xfId="0" applyAlignment="1">
      <alignment horizontal="center" vertical="center"/>
    </xf>
    <xf numFmtId="44" fontId="0" fillId="8" borderId="61" xfId="1" applyFont="1" applyFill="1" applyBorder="1"/>
    <xf numFmtId="0" fontId="8" fillId="8" borderId="65" xfId="0" applyFont="1" applyFill="1" applyBorder="1" applyAlignment="1">
      <alignment horizontal="center"/>
    </xf>
    <xf numFmtId="4" fontId="0" fillId="10" borderId="58" xfId="0" applyNumberFormat="1" applyFill="1" applyBorder="1"/>
    <xf numFmtId="0" fontId="17" fillId="9" borderId="13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166" fontId="3" fillId="0" borderId="7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30" xfId="0" applyFont="1" applyFill="1" applyBorder="1" applyAlignment="1">
      <alignment horizontal="left" vertical="center" wrapText="1"/>
    </xf>
    <xf numFmtId="0" fontId="0" fillId="0" borderId="23" xfId="0" applyBorder="1"/>
    <xf numFmtId="9" fontId="0" fillId="5" borderId="42" xfId="2" applyFont="1" applyFill="1" applyBorder="1" applyAlignment="1">
      <alignment horizontal="center"/>
    </xf>
    <xf numFmtId="9" fontId="0" fillId="5" borderId="43" xfId="2" applyFont="1" applyFill="1" applyBorder="1" applyAlignment="1">
      <alignment horizontal="center"/>
    </xf>
    <xf numFmtId="9" fontId="0" fillId="5" borderId="44" xfId="2" applyFont="1" applyFill="1" applyBorder="1" applyAlignment="1">
      <alignment horizontal="center"/>
    </xf>
    <xf numFmtId="0" fontId="4" fillId="2" borderId="54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171" fontId="3" fillId="0" borderId="30" xfId="0" applyNumberFormat="1" applyFont="1" applyBorder="1" applyAlignment="1">
      <alignment horizontal="left" vertical="center" wrapText="1"/>
    </xf>
    <xf numFmtId="172" fontId="3" fillId="0" borderId="30" xfId="0" applyNumberFormat="1" applyFont="1" applyBorder="1" applyAlignment="1">
      <alignment horizontal="left" vertical="center" wrapText="1"/>
    </xf>
    <xf numFmtId="170" fontId="3" fillId="0" borderId="30" xfId="0" applyNumberFormat="1" applyFont="1" applyBorder="1" applyAlignment="1">
      <alignment horizontal="left" vertical="center" wrapText="1"/>
    </xf>
    <xf numFmtId="173" fontId="3" fillId="0" borderId="30" xfId="0" applyNumberFormat="1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168" fontId="3" fillId="5" borderId="27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44" fontId="3" fillId="3" borderId="13" xfId="0" applyNumberFormat="1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44" fontId="3" fillId="3" borderId="18" xfId="1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22" xfId="0" applyFont="1" applyFill="1" applyBorder="1" applyAlignment="1">
      <alignment horizontal="left" vertical="center" wrapText="1"/>
    </xf>
    <xf numFmtId="0" fontId="3" fillId="6" borderId="28" xfId="0" applyFont="1" applyFill="1" applyBorder="1" applyAlignment="1">
      <alignment horizontal="left" vertical="center" wrapText="1"/>
    </xf>
    <xf numFmtId="0" fontId="3" fillId="6" borderId="30" xfId="0" applyFont="1" applyFill="1" applyBorder="1" applyAlignment="1">
      <alignment horizontal="left" vertical="center" wrapText="1"/>
    </xf>
    <xf numFmtId="0" fontId="2" fillId="6" borderId="7" xfId="0" applyFont="1" applyFill="1" applyBorder="1"/>
    <xf numFmtId="174" fontId="2" fillId="6" borderId="7" xfId="0" applyNumberFormat="1" applyFont="1" applyFill="1" applyBorder="1"/>
    <xf numFmtId="0" fontId="2" fillId="6" borderId="6" xfId="0" applyFont="1" applyFill="1" applyBorder="1"/>
    <xf numFmtId="0" fontId="3" fillId="6" borderId="0" xfId="0" applyFont="1" applyFill="1" applyAlignment="1">
      <alignment horizontal="left" vertical="center" wrapText="1"/>
    </xf>
    <xf numFmtId="0" fontId="3" fillId="6" borderId="6" xfId="0" applyFont="1" applyFill="1" applyBorder="1" applyAlignment="1">
      <alignment horizontal="left" vertical="center" wrapText="1"/>
    </xf>
    <xf numFmtId="164" fontId="5" fillId="6" borderId="0" xfId="0" applyNumberFormat="1" applyFont="1" applyFill="1" applyAlignment="1">
      <alignment horizontal="center" vertical="center" wrapText="1"/>
    </xf>
    <xf numFmtId="0" fontId="5" fillId="6" borderId="7" xfId="0" applyFont="1" applyFill="1" applyBorder="1" applyAlignment="1">
      <alignment horizontal="left" vertical="center" wrapText="1"/>
    </xf>
    <xf numFmtId="9" fontId="0" fillId="6" borderId="34" xfId="2" applyFont="1" applyFill="1" applyBorder="1"/>
    <xf numFmtId="169" fontId="2" fillId="6" borderId="7" xfId="0" applyNumberFormat="1" applyFont="1" applyFill="1" applyBorder="1"/>
    <xf numFmtId="44" fontId="11" fillId="6" borderId="7" xfId="1" applyFont="1" applyFill="1" applyBorder="1" applyAlignment="1"/>
    <xf numFmtId="0" fontId="5" fillId="6" borderId="27" xfId="0" applyFont="1" applyFill="1" applyBorder="1" applyAlignment="1">
      <alignment horizontal="left" vertical="center" wrapText="1"/>
    </xf>
    <xf numFmtId="164" fontId="5" fillId="6" borderId="7" xfId="0" applyNumberFormat="1" applyFont="1" applyFill="1" applyBorder="1" applyAlignment="1">
      <alignment horizontal="center" vertical="center" wrapText="1"/>
    </xf>
    <xf numFmtId="168" fontId="3" fillId="11" borderId="7" xfId="2" applyNumberFormat="1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44" fontId="1" fillId="6" borderId="0" xfId="1" applyFont="1" applyFill="1" applyAlignment="1">
      <alignment horizontal="left" vertical="center" wrapText="1"/>
    </xf>
    <xf numFmtId="2" fontId="1" fillId="6" borderId="0" xfId="0" applyNumberFormat="1" applyFont="1" applyFill="1" applyAlignment="1">
      <alignment horizontal="center" vertical="center" wrapText="1"/>
    </xf>
    <xf numFmtId="44" fontId="8" fillId="0" borderId="0" xfId="1" applyFont="1"/>
    <xf numFmtId="44" fontId="19" fillId="0" borderId="7" xfId="1" applyFont="1" applyBorder="1" applyAlignment="1">
      <alignment horizontal="center" vertical="center" wrapText="1"/>
    </xf>
    <xf numFmtId="44" fontId="19" fillId="0" borderId="7" xfId="1" applyFont="1" applyFill="1" applyBorder="1" applyAlignment="1">
      <alignment horizontal="center" vertical="center" wrapText="1"/>
    </xf>
    <xf numFmtId="44" fontId="19" fillId="0" borderId="7" xfId="1" applyNumberFormat="1" applyFont="1" applyFill="1" applyBorder="1" applyAlignment="1">
      <alignment horizontal="center" vertical="center" wrapText="1"/>
    </xf>
    <xf numFmtId="44" fontId="20" fillId="0" borderId="7" xfId="1" applyFont="1" applyFill="1" applyBorder="1" applyAlignment="1">
      <alignment horizontal="center" vertical="center" wrapText="1"/>
    </xf>
    <xf numFmtId="44" fontId="19" fillId="0" borderId="30" xfId="1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right" vertical="center" wrapText="1"/>
    </xf>
    <xf numFmtId="44" fontId="3" fillId="12" borderId="30" xfId="0" applyNumberFormat="1" applyFont="1" applyFill="1" applyBorder="1" applyAlignment="1">
      <alignment horizontal="left" vertical="center" wrapText="1"/>
    </xf>
    <xf numFmtId="0" fontId="3" fillId="12" borderId="7" xfId="0" applyFont="1" applyFill="1" applyBorder="1" applyAlignment="1">
      <alignment horizontal="left" vertical="center" wrapText="1"/>
    </xf>
    <xf numFmtId="44" fontId="19" fillId="0" borderId="7" xfId="0" applyNumberFormat="1" applyFont="1" applyBorder="1" applyAlignment="1">
      <alignment horizontal="left" vertical="center" wrapText="1"/>
    </xf>
    <xf numFmtId="44" fontId="19" fillId="0" borderId="27" xfId="1" applyFont="1" applyFill="1" applyBorder="1" applyAlignment="1">
      <alignment horizontal="center" vertical="center" wrapText="1"/>
    </xf>
    <xf numFmtId="44" fontId="21" fillId="10" borderId="22" xfId="1" applyFont="1" applyFill="1" applyBorder="1" applyAlignment="1">
      <alignment horizontal="center" vertical="center" wrapText="1"/>
    </xf>
    <xf numFmtId="176" fontId="3" fillId="6" borderId="27" xfId="0" applyNumberFormat="1" applyFont="1" applyFill="1" applyBorder="1" applyAlignment="1">
      <alignment horizontal="right" vertical="center" wrapText="1"/>
    </xf>
    <xf numFmtId="44" fontId="3" fillId="13" borderId="7" xfId="1" applyFont="1" applyFill="1" applyBorder="1" applyAlignment="1">
      <alignment horizontal="center" vertical="center" wrapText="1"/>
    </xf>
    <xf numFmtId="44" fontId="3" fillId="10" borderId="27" xfId="1" applyFont="1" applyFill="1" applyBorder="1" applyAlignment="1">
      <alignment horizontal="center" vertical="center" wrapText="1"/>
    </xf>
    <xf numFmtId="44" fontId="1" fillId="10" borderId="22" xfId="1" applyFont="1" applyFill="1" applyBorder="1" applyAlignment="1">
      <alignment horizontal="center" vertical="center" wrapText="1"/>
    </xf>
    <xf numFmtId="0" fontId="3" fillId="0" borderId="0" xfId="0" applyFont="1" applyAlignment="1"/>
    <xf numFmtId="14" fontId="5" fillId="3" borderId="7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0" fontId="3" fillId="6" borderId="9" xfId="0" applyFont="1" applyFill="1" applyBorder="1" applyAlignment="1">
      <alignment horizontal="left" vertical="center" wrapText="1"/>
    </xf>
    <xf numFmtId="9" fontId="3" fillId="5" borderId="27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8" fillId="0" borderId="7" xfId="0" applyFont="1" applyBorder="1"/>
    <xf numFmtId="44" fontId="0" fillId="0" borderId="7" xfId="0" applyNumberFormat="1" applyBorder="1"/>
    <xf numFmtId="0" fontId="0" fillId="0" borderId="7" xfId="0" applyBorder="1"/>
    <xf numFmtId="44" fontId="22" fillId="0" borderId="7" xfId="0" applyNumberFormat="1" applyFont="1" applyBorder="1"/>
    <xf numFmtId="168" fontId="22" fillId="0" borderId="7" xfId="2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/>
    <xf numFmtId="0" fontId="3" fillId="0" borderId="7" xfId="0" applyFont="1" applyBorder="1" applyAlignment="1">
      <alignment horizontal="left"/>
    </xf>
    <xf numFmtId="0" fontId="1" fillId="14" borderId="7" xfId="0" applyFont="1" applyFill="1" applyBorder="1" applyAlignment="1">
      <alignment horizontal="left" vertical="center" wrapText="1"/>
    </xf>
    <xf numFmtId="2" fontId="0" fillId="0" borderId="7" xfId="0" applyNumberFormat="1" applyBorder="1"/>
    <xf numFmtId="44" fontId="16" fillId="14" borderId="7" xfId="1" applyFont="1" applyFill="1" applyBorder="1"/>
    <xf numFmtId="0" fontId="0" fillId="14" borderId="7" xfId="0" applyFill="1" applyBorder="1"/>
    <xf numFmtId="0" fontId="18" fillId="0" borderId="7" xfId="0" applyFont="1" applyBorder="1" applyAlignment="1">
      <alignment horizontal="left" vertical="center" wrapText="1"/>
    </xf>
    <xf numFmtId="44" fontId="16" fillId="0" borderId="7" xfId="1" applyFont="1" applyBorder="1"/>
    <xf numFmtId="0" fontId="1" fillId="0" borderId="7" xfId="0" applyFont="1" applyBorder="1" applyAlignment="1">
      <alignment horizontal="left" vertical="center" wrapText="1"/>
    </xf>
    <xf numFmtId="44" fontId="0" fillId="0" borderId="7" xfId="1" applyFont="1" applyBorder="1"/>
    <xf numFmtId="0" fontId="8" fillId="0" borderId="29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44" fontId="20" fillId="0" borderId="7" xfId="0" applyNumberFormat="1" applyFont="1" applyBorder="1" applyAlignment="1">
      <alignment horizontal="center" vertical="center" wrapText="1"/>
    </xf>
    <xf numFmtId="44" fontId="20" fillId="0" borderId="30" xfId="0" applyNumberFormat="1" applyFont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4" xfId="0" applyFont="1" applyBorder="1" applyAlignment="1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0" fontId="2" fillId="0" borderId="8" xfId="0" applyFont="1" applyBorder="1" applyAlignment="1"/>
    <xf numFmtId="0" fontId="2" fillId="0" borderId="7" xfId="0" applyFont="1" applyBorder="1" applyAlignment="1"/>
    <xf numFmtId="0" fontId="2" fillId="0" borderId="6" xfId="0" applyFont="1" applyBorder="1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4" fillId="2" borderId="14" xfId="0" applyFont="1" applyFill="1" applyBorder="1" applyAlignment="1">
      <alignment horizontal="center" vertical="center" wrapText="1"/>
    </xf>
    <xf numFmtId="0" fontId="2" fillId="0" borderId="15" xfId="0" applyFont="1" applyBorder="1" applyAlignment="1"/>
    <xf numFmtId="0" fontId="2" fillId="0" borderId="53" xfId="0" applyFont="1" applyBorder="1" applyAlignment="1"/>
    <xf numFmtId="0" fontId="4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/>
    <xf numFmtId="0" fontId="2" fillId="0" borderId="12" xfId="0" applyFont="1" applyBorder="1" applyAlignment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78"/>
  <sheetViews>
    <sheetView tabSelected="1" topLeftCell="A16" zoomScale="125" workbookViewId="0">
      <selection activeCell="C63" sqref="C63"/>
    </sheetView>
  </sheetViews>
  <sheetFormatPr defaultColWidth="16.6640625" defaultRowHeight="15" customHeight="1"/>
  <cols>
    <col min="2" max="2" width="45" customWidth="1"/>
    <col min="3" max="3" width="23" customWidth="1"/>
    <col min="4" max="4" width="19" customWidth="1"/>
    <col min="5" max="5" width="20.6640625" customWidth="1"/>
    <col min="6" max="6" width="19" customWidth="1"/>
    <col min="8" max="8" width="31.6640625" customWidth="1"/>
    <col min="9" max="9" width="20.5" customWidth="1"/>
    <col min="13" max="13" width="21" customWidth="1"/>
    <col min="14" max="16" width="8.1640625" customWidth="1"/>
    <col min="17" max="17" width="25.5" customWidth="1"/>
    <col min="19" max="19" width="17.6640625" bestFit="1" customWidth="1"/>
    <col min="20" max="20" width="19.5" bestFit="1" customWidth="1"/>
    <col min="21" max="24" width="21.1640625" customWidth="1"/>
    <col min="25" max="25" width="16.6640625" style="128"/>
    <col min="26" max="29" width="19.6640625" customWidth="1"/>
  </cols>
  <sheetData>
    <row r="1" spans="1:29" ht="15" customHeight="1" thickBot="1">
      <c r="A1" s="1"/>
      <c r="B1" s="238" t="s">
        <v>0</v>
      </c>
      <c r="C1" s="236"/>
      <c r="D1" s="236"/>
      <c r="E1" s="236"/>
      <c r="F1" s="237"/>
      <c r="G1" s="243" t="s">
        <v>1</v>
      </c>
      <c r="H1" s="244"/>
      <c r="I1" s="34" t="s">
        <v>2</v>
      </c>
      <c r="J1" s="35" t="s">
        <v>3</v>
      </c>
      <c r="K1" s="35" t="s">
        <v>4</v>
      </c>
      <c r="L1" s="36" t="s">
        <v>5</v>
      </c>
      <c r="M1" s="220" t="s">
        <v>6</v>
      </c>
      <c r="N1" s="221"/>
      <c r="O1" s="221"/>
      <c r="P1" s="222"/>
      <c r="Q1" s="83" t="s">
        <v>7</v>
      </c>
      <c r="R1" s="84" t="s">
        <v>8</v>
      </c>
      <c r="S1" s="84" t="s">
        <v>9</v>
      </c>
      <c r="T1" s="97" t="s">
        <v>10</v>
      </c>
      <c r="U1" s="109" t="s">
        <v>11</v>
      </c>
      <c r="V1" s="110" t="s">
        <v>12</v>
      </c>
      <c r="W1" s="119" t="s">
        <v>13</v>
      </c>
      <c r="X1" s="119" t="s">
        <v>14</v>
      </c>
      <c r="Y1" s="132" t="s">
        <v>15</v>
      </c>
      <c r="Z1" s="130" t="s">
        <v>11</v>
      </c>
      <c r="AA1" s="110" t="s">
        <v>12</v>
      </c>
      <c r="AB1" s="119" t="s">
        <v>13</v>
      </c>
      <c r="AC1" s="122" t="s">
        <v>14</v>
      </c>
    </row>
    <row r="2" spans="1:29" ht="15" customHeight="1">
      <c r="A2" s="3"/>
      <c r="B2" s="239"/>
      <c r="C2" s="240"/>
      <c r="D2" s="240"/>
      <c r="E2" s="241"/>
      <c r="F2" s="242"/>
      <c r="G2" s="244"/>
      <c r="H2" s="244"/>
      <c r="I2" s="18" t="s">
        <v>16</v>
      </c>
      <c r="J2" s="33">
        <v>1</v>
      </c>
      <c r="K2" s="33">
        <v>108996</v>
      </c>
      <c r="L2" s="102">
        <f>J2*K2+$L$13*(K2/SUM(K2:K12))</f>
        <v>126861.73146292585</v>
      </c>
      <c r="M2" s="108">
        <f>K2/SUM($K$2:$K$12)</f>
        <v>1</v>
      </c>
      <c r="N2" s="108">
        <f>(S2+T2)/($S$14+$T$14)</f>
        <v>1</v>
      </c>
      <c r="O2" s="108">
        <f>L2/$L$14</f>
        <v>1</v>
      </c>
      <c r="P2" s="108">
        <f>(M2+N2+O2)/3</f>
        <v>1</v>
      </c>
      <c r="Q2" s="104"/>
      <c r="R2" s="142">
        <v>0.15</v>
      </c>
      <c r="S2" s="88">
        <f>L2*R2*$G$13</f>
        <v>1899120.1199999999</v>
      </c>
      <c r="T2" s="98">
        <f>(L2*$G$13+S2)*$F$3</f>
        <v>3203182.6023999997</v>
      </c>
      <c r="U2" s="111">
        <f>IF(V2&gt;0,V2/J2,0)</f>
        <v>30539047.847483601</v>
      </c>
      <c r="V2" s="112">
        <f>X2/(1+$F$3)</f>
        <v>30539047.847483601</v>
      </c>
      <c r="W2" s="120">
        <f>IF(X2&gt;0,X2/J2,0)</f>
        <v>37257638.373929992</v>
      </c>
      <c r="X2" s="129">
        <f>$D$14*P2</f>
        <v>37257638.373929992</v>
      </c>
      <c r="Y2" s="133" t="s">
        <v>17</v>
      </c>
      <c r="Z2" s="131">
        <f>U2/$Y$4</f>
        <v>306002.48344171944</v>
      </c>
      <c r="AA2" s="125">
        <f>V2/$Y$4</f>
        <v>306002.48344171944</v>
      </c>
      <c r="AB2" s="125">
        <f>W2/$Y$4</f>
        <v>373323.02979889774</v>
      </c>
      <c r="AC2" s="125">
        <f>X2/$Y$4</f>
        <v>373323.02979889774</v>
      </c>
    </row>
    <row r="3" spans="1:29" ht="15" customHeight="1" thickBot="1">
      <c r="A3" s="5"/>
      <c r="B3" s="6" t="s">
        <v>18</v>
      </c>
      <c r="C3" s="196"/>
      <c r="D3" s="2"/>
      <c r="E3" s="56" t="s">
        <v>19</v>
      </c>
      <c r="F3" s="57">
        <v>0.22</v>
      </c>
      <c r="G3" s="227" t="s">
        <v>20</v>
      </c>
      <c r="H3" s="228"/>
      <c r="I3" s="18" t="s">
        <v>21</v>
      </c>
      <c r="J3" s="33"/>
      <c r="K3" s="33"/>
      <c r="L3" s="102">
        <f>J3*K3+$L$13*(K3/SUM(K2:K12))</f>
        <v>0</v>
      </c>
      <c r="M3" s="108">
        <f>K3/SUM($K$2:$K$12)</f>
        <v>0</v>
      </c>
      <c r="N3" s="108">
        <f t="shared" ref="N3:N12" si="0">(S3+T3)/($S$14+$T$14)</f>
        <v>0</v>
      </c>
      <c r="O3" s="108">
        <f t="shared" ref="O3:O12" si="1">L3/$L$14</f>
        <v>0</v>
      </c>
      <c r="P3" s="108">
        <f t="shared" ref="P3:P12" si="2">(M3+N3+O3)/3</f>
        <v>0</v>
      </c>
      <c r="Q3" s="105"/>
      <c r="R3" s="143">
        <v>0</v>
      </c>
      <c r="S3" s="89">
        <f>L3*R3*$G$13</f>
        <v>0</v>
      </c>
      <c r="T3" s="99">
        <f>(L3*$G$13+S3)*$F$3</f>
        <v>0</v>
      </c>
      <c r="U3" s="111">
        <f>IF(V3&gt;0,V3/J3,0)</f>
        <v>0</v>
      </c>
      <c r="V3" s="112">
        <f t="shared" ref="V3:V12" si="3">X3/(1+$F$3)</f>
        <v>0</v>
      </c>
      <c r="W3" s="120">
        <f>IF(X3&gt;0,X3/J3,0)</f>
        <v>0</v>
      </c>
      <c r="X3" s="129">
        <f t="shared" ref="X3:X12" si="4">$D$14*P3</f>
        <v>0</v>
      </c>
      <c r="Y3" s="134" t="s">
        <v>22</v>
      </c>
      <c r="Z3" s="131">
        <f>U3/$Y$4</f>
        <v>0</v>
      </c>
      <c r="AA3" s="125">
        <f>V3/$Y$4</f>
        <v>0</v>
      </c>
      <c r="AB3" s="125">
        <f>W3/$Y$4</f>
        <v>0</v>
      </c>
      <c r="AC3" s="125">
        <f>X3/$Y$4</f>
        <v>0</v>
      </c>
    </row>
    <row r="4" spans="1:29" ht="15" customHeight="1">
      <c r="A4" s="5" t="s">
        <v>23</v>
      </c>
      <c r="B4" s="245" t="s">
        <v>24</v>
      </c>
      <c r="C4" s="246"/>
      <c r="D4" s="246"/>
      <c r="E4" s="246"/>
      <c r="F4" s="247"/>
      <c r="G4" s="146"/>
      <c r="H4" s="62" t="s">
        <v>25</v>
      </c>
      <c r="I4" s="18" t="s">
        <v>26</v>
      </c>
      <c r="J4" s="33"/>
      <c r="K4" s="33"/>
      <c r="L4" s="102">
        <f>J4*K4+$L$13*(K4/SUM(K2:K12))</f>
        <v>0</v>
      </c>
      <c r="M4" s="108">
        <f>K4/SUM($K$2:$K$12)</f>
        <v>0</v>
      </c>
      <c r="N4" s="108">
        <f t="shared" si="0"/>
        <v>0</v>
      </c>
      <c r="O4" s="108">
        <f t="shared" si="1"/>
        <v>0</v>
      </c>
      <c r="P4" s="108">
        <f t="shared" si="2"/>
        <v>0</v>
      </c>
      <c r="Q4" s="105"/>
      <c r="R4" s="143">
        <v>0.02</v>
      </c>
      <c r="S4" s="89">
        <f>L4*R4*$G$13</f>
        <v>0</v>
      </c>
      <c r="T4" s="99">
        <f>(L4*$G$13+S4)*$F$3</f>
        <v>0</v>
      </c>
      <c r="U4" s="111">
        <f>IF(V4&gt;0,V4/J4,0)</f>
        <v>0</v>
      </c>
      <c r="V4" s="112">
        <f t="shared" si="3"/>
        <v>0</v>
      </c>
      <c r="W4" s="120">
        <f>IF(X4&gt;0,X4/J4,0)</f>
        <v>0</v>
      </c>
      <c r="X4" s="129">
        <f t="shared" si="4"/>
        <v>0</v>
      </c>
      <c r="Y4" s="135">
        <f>VLOOKUP(Y2,G8:H11,2,FALSE)</f>
        <v>99.8</v>
      </c>
      <c r="Z4" s="131">
        <f>U4/$Y$4</f>
        <v>0</v>
      </c>
      <c r="AA4" s="125">
        <f>V4/$Y$4</f>
        <v>0</v>
      </c>
      <c r="AB4" s="125">
        <f>W4/$Y$4</f>
        <v>0</v>
      </c>
      <c r="AC4" s="125">
        <f>X4/$Y$4</f>
        <v>0</v>
      </c>
    </row>
    <row r="5" spans="1:29" ht="15" customHeight="1" thickBot="1">
      <c r="A5" s="5"/>
      <c r="B5" s="16"/>
      <c r="C5" s="17"/>
      <c r="D5" s="17" t="s">
        <v>27</v>
      </c>
      <c r="E5" s="17"/>
      <c r="F5" s="145"/>
      <c r="G5" s="147"/>
      <c r="H5" s="27"/>
      <c r="I5" s="18" t="s">
        <v>28</v>
      </c>
      <c r="J5" s="33"/>
      <c r="K5" s="33"/>
      <c r="L5" s="102">
        <f>J5*K5+$L$13*(K5/SUM(K2:K12))</f>
        <v>0</v>
      </c>
      <c r="M5" s="108">
        <f>K5/SUM($K$2:$K$12)</f>
        <v>0</v>
      </c>
      <c r="N5" s="108">
        <f t="shared" si="0"/>
        <v>0</v>
      </c>
      <c r="O5" s="108">
        <f t="shared" si="1"/>
        <v>0</v>
      </c>
      <c r="P5" s="108">
        <f t="shared" si="2"/>
        <v>0</v>
      </c>
      <c r="Q5" s="105"/>
      <c r="R5" s="143">
        <v>0.03</v>
      </c>
      <c r="S5" s="89">
        <f>L5*R5*$G$13</f>
        <v>0</v>
      </c>
      <c r="T5" s="99">
        <f>(L5*$G$13+S5)*$F$3</f>
        <v>0</v>
      </c>
      <c r="U5" s="111">
        <f>IF(V5&gt;0,V5/J5,0)</f>
        <v>0</v>
      </c>
      <c r="V5" s="112">
        <f t="shared" si="3"/>
        <v>0</v>
      </c>
      <c r="W5" s="120">
        <f>IF(X5&gt;0,X5/J5,0)</f>
        <v>0</v>
      </c>
      <c r="X5" s="123">
        <f t="shared" si="4"/>
        <v>0</v>
      </c>
      <c r="Y5" s="136"/>
      <c r="Z5" s="125">
        <f>U5/$Y$4</f>
        <v>0</v>
      </c>
      <c r="AA5" s="125">
        <f>V5/$Y$4</f>
        <v>0</v>
      </c>
      <c r="AB5" s="125">
        <f>W5/$Y$4</f>
        <v>0</v>
      </c>
      <c r="AC5" s="125">
        <f>X5/$Y$4</f>
        <v>0</v>
      </c>
    </row>
    <row r="6" spans="1:29" ht="15" customHeight="1">
      <c r="A6" s="5"/>
      <c r="B6" s="38" t="s">
        <v>29</v>
      </c>
      <c r="C6" s="25" t="s">
        <v>17</v>
      </c>
      <c r="D6" s="26">
        <v>1.4999999999999999E-2</v>
      </c>
      <c r="E6" s="55">
        <f>VLOOKUP(C6,G6:H11,2,FALSE)*(1+D6)</f>
        <v>101.29699999999998</v>
      </c>
      <c r="F6" s="173"/>
      <c r="G6" s="147"/>
      <c r="H6" s="27"/>
      <c r="I6" s="18" t="s">
        <v>30</v>
      </c>
      <c r="J6" s="33"/>
      <c r="K6" s="33"/>
      <c r="L6" s="102">
        <f>J6*K6+$L$13*(K6/SUM(K2:K12))</f>
        <v>0</v>
      </c>
      <c r="M6" s="108">
        <f>K6/SUM($K$2:$K$12)</f>
        <v>0</v>
      </c>
      <c r="N6" s="108">
        <f t="shared" si="0"/>
        <v>0</v>
      </c>
      <c r="O6" s="108">
        <f t="shared" si="1"/>
        <v>0</v>
      </c>
      <c r="P6" s="108">
        <f t="shared" si="2"/>
        <v>0</v>
      </c>
      <c r="Q6" s="106"/>
      <c r="R6" s="143">
        <v>0.04</v>
      </c>
      <c r="S6" s="89">
        <f>L6*R6*$G$13</f>
        <v>0</v>
      </c>
      <c r="T6" s="99">
        <f>(L6*$G$13+S6)*$F$3</f>
        <v>0</v>
      </c>
      <c r="U6" s="111">
        <f>IF(V6&gt;0,V6/J6,0)</f>
        <v>0</v>
      </c>
      <c r="V6" s="112">
        <f t="shared" si="3"/>
        <v>0</v>
      </c>
      <c r="W6" s="120">
        <f>IF(X6&gt;0,X6/J6,0)</f>
        <v>0</v>
      </c>
      <c r="X6" s="123">
        <f t="shared" si="4"/>
        <v>0</v>
      </c>
      <c r="Y6" s="137"/>
      <c r="Z6" s="125">
        <f>U6/$Y$4</f>
        <v>0</v>
      </c>
      <c r="AA6" s="125">
        <f>V6/$Y$4</f>
        <v>0</v>
      </c>
      <c r="AB6" s="125">
        <f>W6/$Y$4</f>
        <v>0</v>
      </c>
      <c r="AC6" s="125">
        <f>X6/$Y$4</f>
        <v>0</v>
      </c>
    </row>
    <row r="7" spans="1:29" ht="15" customHeight="1">
      <c r="A7" s="5"/>
      <c r="B7" s="39" t="str">
        <f>CONCATENATE("Закупка в ",C6)</f>
        <v>Закупка в EUR</v>
      </c>
      <c r="C7" s="43">
        <f>L14</f>
        <v>126861.73146292585</v>
      </c>
      <c r="D7" s="175"/>
      <c r="E7" s="174"/>
      <c r="F7" s="169"/>
      <c r="G7" s="147" t="s">
        <v>31</v>
      </c>
      <c r="H7" s="27"/>
      <c r="I7" s="18" t="s">
        <v>32</v>
      </c>
      <c r="J7" s="33"/>
      <c r="K7" s="33"/>
      <c r="L7" s="102">
        <f>J7*K7+$L$13*(K7/SUM(K2:K12))</f>
        <v>0</v>
      </c>
      <c r="M7" s="108">
        <f>K7/SUM($K$2:$K$12)</f>
        <v>0</v>
      </c>
      <c r="N7" s="108">
        <f t="shared" si="0"/>
        <v>0</v>
      </c>
      <c r="O7" s="108">
        <f t="shared" si="1"/>
        <v>0</v>
      </c>
      <c r="P7" s="108">
        <f t="shared" si="2"/>
        <v>0</v>
      </c>
      <c r="Q7" s="105"/>
      <c r="R7" s="143">
        <v>2.7E-2</v>
      </c>
      <c r="S7" s="89">
        <f>L7*R7*$G$13</f>
        <v>0</v>
      </c>
      <c r="T7" s="99">
        <f>(L7*$G$13+S7)*$F$3</f>
        <v>0</v>
      </c>
      <c r="U7" s="111">
        <f>IF(V7&gt;0,V7/J7,0)</f>
        <v>0</v>
      </c>
      <c r="V7" s="112">
        <f t="shared" si="3"/>
        <v>0</v>
      </c>
      <c r="W7" s="120">
        <f>IF(X7&gt;0,X7/J7,0)</f>
        <v>0</v>
      </c>
      <c r="X7" s="123">
        <f t="shared" si="4"/>
        <v>0</v>
      </c>
      <c r="Y7" s="137"/>
      <c r="Z7" s="125">
        <f>U7/$Y$4</f>
        <v>0</v>
      </c>
      <c r="AA7" s="125">
        <f>V7/$Y$4</f>
        <v>0</v>
      </c>
      <c r="AB7" s="125">
        <f>W7/$Y$4</f>
        <v>0</v>
      </c>
      <c r="AC7" s="125">
        <f>X7/$Y$4</f>
        <v>0</v>
      </c>
    </row>
    <row r="8" spans="1:29" ht="15" customHeight="1">
      <c r="A8" s="5"/>
      <c r="B8" s="40" t="s">
        <v>33</v>
      </c>
      <c r="C8" s="42">
        <f>C7*(1+C21)*E6</f>
        <v>13171980.632299997</v>
      </c>
      <c r="D8" s="171"/>
      <c r="E8" s="172"/>
      <c r="F8" s="159"/>
      <c r="G8" s="147" t="s">
        <v>17</v>
      </c>
      <c r="H8" s="148">
        <v>99.8</v>
      </c>
      <c r="I8" s="18" t="s">
        <v>34</v>
      </c>
      <c r="J8" s="33"/>
      <c r="K8" s="33"/>
      <c r="L8" s="102">
        <f>J8*K8+$L$13*(K8/SUM(K2:K12))</f>
        <v>0</v>
      </c>
      <c r="M8" s="108">
        <f>K8/SUM($K$2:$K$12)</f>
        <v>0</v>
      </c>
      <c r="N8" s="108">
        <f t="shared" si="0"/>
        <v>0</v>
      </c>
      <c r="O8" s="108">
        <f t="shared" si="1"/>
        <v>0</v>
      </c>
      <c r="P8" s="108">
        <f t="shared" si="2"/>
        <v>0</v>
      </c>
      <c r="Q8" s="105"/>
      <c r="R8" s="143">
        <v>2.9333333333333302E-2</v>
      </c>
      <c r="S8" s="89">
        <f>L8*R8*$G$13</f>
        <v>0</v>
      </c>
      <c r="T8" s="99">
        <f>(L8*$G$13+S8)*$F$3</f>
        <v>0</v>
      </c>
      <c r="U8" s="111">
        <f>IF(V8&gt;0,V8/J8,0)</f>
        <v>0</v>
      </c>
      <c r="V8" s="112">
        <f t="shared" si="3"/>
        <v>0</v>
      </c>
      <c r="W8" s="120">
        <f>IF(X8&gt;0,X8/J8,0)</f>
        <v>0</v>
      </c>
      <c r="X8" s="123">
        <f t="shared" si="4"/>
        <v>0</v>
      </c>
      <c r="Y8" s="137"/>
      <c r="Z8" s="125">
        <f>U8/$Y$4</f>
        <v>0</v>
      </c>
      <c r="AA8" s="125">
        <f>V8/$Y$4</f>
        <v>0</v>
      </c>
      <c r="AB8" s="125">
        <f>W8/$Y$4</f>
        <v>0</v>
      </c>
      <c r="AC8" s="125">
        <f>X8/$Y$4</f>
        <v>0</v>
      </c>
    </row>
    <row r="9" spans="1:29" ht="15" customHeight="1">
      <c r="A9" s="5"/>
      <c r="B9" s="39" t="s">
        <v>35</v>
      </c>
      <c r="C9" s="20">
        <v>6</v>
      </c>
      <c r="D9" s="159"/>
      <c r="E9" s="159"/>
      <c r="F9" s="159"/>
      <c r="G9" s="147" t="s">
        <v>36</v>
      </c>
      <c r="H9" s="149">
        <v>78.5</v>
      </c>
      <c r="I9" s="18" t="s">
        <v>37</v>
      </c>
      <c r="J9" s="33"/>
      <c r="K9" s="33"/>
      <c r="L9" s="102">
        <f>J9*K9+$L$13*(K9/SUM(K2:K12))</f>
        <v>0</v>
      </c>
      <c r="M9" s="108">
        <f>K9/SUM($K$2:$K$12)</f>
        <v>0</v>
      </c>
      <c r="N9" s="108">
        <f t="shared" si="0"/>
        <v>0</v>
      </c>
      <c r="O9" s="108">
        <f t="shared" si="1"/>
        <v>0</v>
      </c>
      <c r="P9" s="108">
        <f t="shared" si="2"/>
        <v>0</v>
      </c>
      <c r="Q9" s="105"/>
      <c r="R9" s="143">
        <v>2.78333333333333E-2</v>
      </c>
      <c r="S9" s="89">
        <f>L9*R9*$G$13</f>
        <v>0</v>
      </c>
      <c r="T9" s="99">
        <f>(L9*$G$13+S9)*$F$3</f>
        <v>0</v>
      </c>
      <c r="U9" s="111">
        <f>IF(V9&gt;0,V9/J9,0)</f>
        <v>0</v>
      </c>
      <c r="V9" s="112">
        <f t="shared" si="3"/>
        <v>0</v>
      </c>
      <c r="W9" s="120">
        <f>IF(X9&gt;0,X9/J9,0)</f>
        <v>0</v>
      </c>
      <c r="X9" s="123">
        <f t="shared" si="4"/>
        <v>0</v>
      </c>
      <c r="Y9" s="137"/>
      <c r="Z9" s="125">
        <f>U9/$Y$4</f>
        <v>0</v>
      </c>
      <c r="AA9" s="125">
        <f>V9/$Y$4</f>
        <v>0</v>
      </c>
      <c r="AB9" s="125">
        <f>W9/$Y$4</f>
        <v>0</v>
      </c>
      <c r="AC9" s="125">
        <f>X9/$Y$4</f>
        <v>0</v>
      </c>
    </row>
    <row r="10" spans="1:29" ht="15" customHeight="1" thickBot="1">
      <c r="A10" s="5"/>
      <c r="B10" s="41" t="s">
        <v>38</v>
      </c>
      <c r="C10" s="28" t="s">
        <v>39</v>
      </c>
      <c r="D10" s="29">
        <v>0.3</v>
      </c>
      <c r="E10" s="30" t="s">
        <v>40</v>
      </c>
      <c r="F10" s="170">
        <f>100%-D10</f>
        <v>0.7</v>
      </c>
      <c r="G10" s="147" t="s">
        <v>41</v>
      </c>
      <c r="H10" s="150">
        <v>109.1</v>
      </c>
      <c r="I10" s="18" t="s">
        <v>42</v>
      </c>
      <c r="J10" s="33"/>
      <c r="K10" s="33"/>
      <c r="L10" s="102">
        <f>J10*K10+$L$13*(K10/SUM(K2:K12))</f>
        <v>0</v>
      </c>
      <c r="M10" s="108">
        <f>K10/SUM($K$2:$K$12)</f>
        <v>0</v>
      </c>
      <c r="N10" s="108">
        <f t="shared" si="0"/>
        <v>0</v>
      </c>
      <c r="O10" s="108">
        <f t="shared" si="1"/>
        <v>0</v>
      </c>
      <c r="P10" s="108">
        <f t="shared" si="2"/>
        <v>0</v>
      </c>
      <c r="Q10" s="105"/>
      <c r="R10" s="143">
        <v>2.6333333333333299E-2</v>
      </c>
      <c r="S10" s="89">
        <f>L10*R10*$G$13</f>
        <v>0</v>
      </c>
      <c r="T10" s="99">
        <f>(L10*$G$13+S10)*$F$3</f>
        <v>0</v>
      </c>
      <c r="U10" s="111">
        <f>IF(V10&gt;0,V10/J10,0)</f>
        <v>0</v>
      </c>
      <c r="V10" s="112">
        <f t="shared" si="3"/>
        <v>0</v>
      </c>
      <c r="W10" s="120">
        <f>IF(X10&gt;0,X10/J10,0)</f>
        <v>0</v>
      </c>
      <c r="X10" s="123">
        <f t="shared" si="4"/>
        <v>0</v>
      </c>
      <c r="Y10" s="137"/>
      <c r="Z10" s="125">
        <f>U10/$Y$4</f>
        <v>0</v>
      </c>
      <c r="AA10" s="125">
        <f>V10/$Y$4</f>
        <v>0</v>
      </c>
      <c r="AB10" s="125">
        <f>W10/$Y$4</f>
        <v>0</v>
      </c>
      <c r="AC10" s="125">
        <f>X10/$Y$4</f>
        <v>0</v>
      </c>
    </row>
    <row r="11" spans="1:29" ht="15" customHeight="1" thickBot="1">
      <c r="A11" s="5"/>
      <c r="B11" s="6"/>
      <c r="C11" s="10"/>
      <c r="D11" s="10"/>
      <c r="E11" s="10"/>
      <c r="F11" s="19"/>
      <c r="G11" s="147" t="s">
        <v>43</v>
      </c>
      <c r="H11" s="151">
        <v>11.7</v>
      </c>
      <c r="I11" s="18" t="s">
        <v>44</v>
      </c>
      <c r="J11" s="33"/>
      <c r="K11" s="33"/>
      <c r="L11" s="102">
        <f>J11*K11+$L$13*(K11/SUM(K2:K12))</f>
        <v>0</v>
      </c>
      <c r="M11" s="108">
        <f>K11/SUM($K$2:$K$12)</f>
        <v>0</v>
      </c>
      <c r="N11" s="108">
        <f t="shared" si="0"/>
        <v>0</v>
      </c>
      <c r="O11" s="108">
        <f t="shared" si="1"/>
        <v>0</v>
      </c>
      <c r="P11" s="108">
        <f t="shared" si="2"/>
        <v>0</v>
      </c>
      <c r="Q11" s="105"/>
      <c r="R11" s="143">
        <v>2.4833333333333301E-2</v>
      </c>
      <c r="S11" s="89">
        <f>L11*R11*$G$13</f>
        <v>0</v>
      </c>
      <c r="T11" s="99">
        <f>(L11*$G$13+S11)*$F$3</f>
        <v>0</v>
      </c>
      <c r="U11" s="111">
        <f>IF(V11&gt;0,V11/J11,0)</f>
        <v>0</v>
      </c>
      <c r="V11" s="112">
        <f t="shared" si="3"/>
        <v>0</v>
      </c>
      <c r="W11" s="120">
        <f>IF(X11&gt;0,X11/J11,0)</f>
        <v>0</v>
      </c>
      <c r="X11" s="123">
        <f t="shared" si="4"/>
        <v>0</v>
      </c>
      <c r="Y11" s="137"/>
      <c r="Z11" s="125">
        <f>U11/$Y$4</f>
        <v>0</v>
      </c>
      <c r="AA11" s="125">
        <f>V11/$Y$4</f>
        <v>0</v>
      </c>
      <c r="AB11" s="125">
        <f>W11/$Y$4</f>
        <v>0</v>
      </c>
      <c r="AC11" s="125">
        <f>X11/$Y$4</f>
        <v>0</v>
      </c>
    </row>
    <row r="12" spans="1:29" ht="15" customHeight="1">
      <c r="A12" s="5" t="s">
        <v>45</v>
      </c>
      <c r="B12" s="235" t="s">
        <v>46</v>
      </c>
      <c r="C12" s="236"/>
      <c r="D12" s="236"/>
      <c r="E12" s="236"/>
      <c r="F12" s="236"/>
      <c r="G12" s="147"/>
      <c r="H12" s="27"/>
      <c r="I12" s="18" t="s">
        <v>47</v>
      </c>
      <c r="J12" s="44"/>
      <c r="K12" s="44"/>
      <c r="L12" s="103">
        <f>J12*K12+$L$13*(K12/SUM(K2:K12))</f>
        <v>0</v>
      </c>
      <c r="M12" s="108">
        <f>K12/SUM($K$2:$K$12)</f>
        <v>0</v>
      </c>
      <c r="N12" s="108">
        <f t="shared" si="0"/>
        <v>0</v>
      </c>
      <c r="O12" s="108">
        <f t="shared" si="1"/>
        <v>0</v>
      </c>
      <c r="P12" s="108">
        <f t="shared" si="2"/>
        <v>0</v>
      </c>
      <c r="Q12" s="107"/>
      <c r="R12" s="144">
        <v>2.33333333333333E-2</v>
      </c>
      <c r="S12" s="73">
        <f>L12*R12*$G$13</f>
        <v>0</v>
      </c>
      <c r="T12" s="100">
        <f>(L12*$G$13+S12)*$F$3</f>
        <v>0</v>
      </c>
      <c r="U12" s="113">
        <f>IF(V12&gt;0,V12/J12,0)</f>
        <v>0</v>
      </c>
      <c r="V12" s="114">
        <f t="shared" si="3"/>
        <v>0</v>
      </c>
      <c r="W12" s="121">
        <f>IF(X12&gt;0,X12/J12,0)</f>
        <v>0</v>
      </c>
      <c r="X12" s="124">
        <f t="shared" si="4"/>
        <v>0</v>
      </c>
      <c r="Y12" s="137"/>
      <c r="Z12" s="125">
        <f>U12/$Y$4</f>
        <v>0</v>
      </c>
      <c r="AA12" s="125">
        <f>V12/$Y$4</f>
        <v>0</v>
      </c>
      <c r="AB12" s="125">
        <f>W12/$Y$4</f>
        <v>0</v>
      </c>
      <c r="AC12" s="125">
        <f>X12/$Y$4</f>
        <v>0</v>
      </c>
    </row>
    <row r="13" spans="1:29" ht="15" customHeight="1">
      <c r="A13" s="5"/>
      <c r="B13" s="7" t="s">
        <v>48</v>
      </c>
      <c r="C13" s="176" t="str">
        <f>Y2</f>
        <v>EUR</v>
      </c>
      <c r="D13" s="166" t="s">
        <v>49</v>
      </c>
      <c r="E13" s="168"/>
      <c r="F13" s="169"/>
      <c r="G13" s="152">
        <f>VLOOKUP(C6,G8:H11,2,FALSE)</f>
        <v>99.8</v>
      </c>
      <c r="H13" s="68"/>
      <c r="I13" s="45" t="s">
        <v>50</v>
      </c>
      <c r="J13" s="46">
        <v>10000</v>
      </c>
      <c r="K13" s="47">
        <f>E19</f>
        <v>7865.7314629258526</v>
      </c>
      <c r="L13" s="48">
        <f>J13+K13</f>
        <v>17865.731462925854</v>
      </c>
      <c r="M13" s="31"/>
      <c r="N13" s="31"/>
      <c r="O13" s="31"/>
      <c r="P13" s="31"/>
      <c r="Q13" s="85"/>
      <c r="R13" s="86"/>
      <c r="S13" s="86"/>
      <c r="T13" s="87"/>
      <c r="U13" s="115"/>
      <c r="V13" s="116"/>
      <c r="W13" s="115"/>
      <c r="X13" s="116"/>
      <c r="Y13" s="137"/>
      <c r="Z13" s="77"/>
      <c r="AA13" s="77"/>
      <c r="AB13" s="77"/>
      <c r="AC13" s="77"/>
    </row>
    <row r="14" spans="1:29" ht="15" customHeight="1">
      <c r="A14" s="5"/>
      <c r="B14" s="7" t="s">
        <v>51</v>
      </c>
      <c r="C14" s="178">
        <f>AC14</f>
        <v>373323.02979889774</v>
      </c>
      <c r="D14" s="177">
        <f>F58*(1+E58)</f>
        <v>37257638.373929992</v>
      </c>
      <c r="E14" s="163"/>
      <c r="F14" s="167"/>
      <c r="G14" s="2"/>
      <c r="H14" s="51"/>
      <c r="I14" s="230" t="s">
        <v>52</v>
      </c>
      <c r="J14" s="231"/>
      <c r="K14" s="231"/>
      <c r="L14" s="37">
        <f>SUM(L2:L12)</f>
        <v>126861.73146292585</v>
      </c>
      <c r="M14" s="32"/>
      <c r="N14" s="32"/>
      <c r="O14" s="32"/>
      <c r="P14" s="32"/>
      <c r="Q14" s="79"/>
      <c r="R14" s="80"/>
      <c r="S14" s="81">
        <f>SUM(S2:S12)</f>
        <v>1899120.1199999999</v>
      </c>
      <c r="T14" s="82">
        <f>SUM(T2:T12)</f>
        <v>3203182.6023999997</v>
      </c>
      <c r="U14" s="117" t="s">
        <v>12</v>
      </c>
      <c r="V14" s="118">
        <f>SUM(V2:V12)</f>
        <v>30539047.847483601</v>
      </c>
      <c r="W14" s="117" t="s">
        <v>14</v>
      </c>
      <c r="X14" s="118">
        <f>SUM(X2:X12)</f>
        <v>37257638.373929992</v>
      </c>
      <c r="Y14" s="137"/>
      <c r="Z14" s="126" t="s">
        <v>12</v>
      </c>
      <c r="AA14" s="127">
        <f>SUM(AA2:AA12)</f>
        <v>306002.48344171944</v>
      </c>
      <c r="AB14" s="126" t="s">
        <v>14</v>
      </c>
      <c r="AC14" s="127">
        <f>SUM(AC2:AC12)</f>
        <v>373323.02979889774</v>
      </c>
    </row>
    <row r="15" spans="1:29" ht="15" customHeight="1">
      <c r="A15" s="5"/>
      <c r="B15" s="7" t="s">
        <v>53</v>
      </c>
      <c r="C15" s="199">
        <f>C9+C23</f>
        <v>7</v>
      </c>
      <c r="D15" s="166"/>
      <c r="E15" s="166"/>
      <c r="F15" s="167"/>
      <c r="G15" s="2"/>
      <c r="H15" s="2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Z15" s="51"/>
      <c r="AA15" s="51"/>
      <c r="AB15" s="51"/>
      <c r="AC15" s="51"/>
    </row>
    <row r="16" spans="1:29" ht="15" customHeight="1" thickBot="1">
      <c r="A16" s="5"/>
      <c r="B16" s="8" t="s">
        <v>38</v>
      </c>
      <c r="C16" s="197" t="s">
        <v>39</v>
      </c>
      <c r="D16" s="9">
        <v>0.3</v>
      </c>
      <c r="E16" s="198" t="s">
        <v>40</v>
      </c>
      <c r="F16" s="170">
        <f>100%-D16</f>
        <v>0.7</v>
      </c>
      <c r="G16" s="2"/>
      <c r="H16" s="2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Z16" s="51"/>
      <c r="AA16" s="51"/>
      <c r="AB16" s="51"/>
      <c r="AC16" s="51"/>
    </row>
    <row r="17" spans="1:13" ht="15" customHeight="1" thickBot="1">
      <c r="A17" s="5"/>
      <c r="B17" s="6"/>
      <c r="C17" s="10"/>
      <c r="D17" s="10"/>
      <c r="E17" s="10"/>
      <c r="F17" s="2"/>
      <c r="G17" s="2"/>
      <c r="H17" s="2"/>
      <c r="I17" s="51"/>
      <c r="J17" s="51"/>
      <c r="K17" s="51"/>
      <c r="L17" s="51"/>
      <c r="M17" s="51"/>
    </row>
    <row r="18" spans="1:13" ht="15" customHeight="1" thickBot="1">
      <c r="A18" s="5" t="s">
        <v>54</v>
      </c>
      <c r="B18" s="235" t="s">
        <v>55</v>
      </c>
      <c r="C18" s="236"/>
      <c r="D18" s="236"/>
      <c r="E18" s="236"/>
      <c r="F18" s="237"/>
      <c r="G18" s="2"/>
      <c r="H18" s="2"/>
      <c r="I18" s="51"/>
      <c r="J18" s="51"/>
      <c r="K18" s="51"/>
      <c r="L18" s="51"/>
      <c r="M18" s="51"/>
    </row>
    <row r="19" spans="1:13" ht="15" customHeight="1" thickBot="1">
      <c r="A19" s="5"/>
      <c r="B19" s="22" t="s">
        <v>56</v>
      </c>
      <c r="C19" s="23">
        <v>10000</v>
      </c>
      <c r="D19" s="25" t="s">
        <v>36</v>
      </c>
      <c r="E19" s="55">
        <f>C19*(VLOOKUP(D19,G8:H11,2,FALSE)*(1+D6))/E6</f>
        <v>7865.7314629258526</v>
      </c>
      <c r="F19" s="165"/>
      <c r="G19" s="2"/>
      <c r="H19" s="21"/>
      <c r="I19" s="206"/>
      <c r="J19" s="206"/>
      <c r="K19" s="206"/>
      <c r="L19" s="206"/>
      <c r="M19" s="51"/>
    </row>
    <row r="20" spans="1:13" ht="15" customHeight="1">
      <c r="A20" s="5"/>
      <c r="B20" s="22" t="s">
        <v>57</v>
      </c>
      <c r="C20" s="20">
        <v>1.5</v>
      </c>
      <c r="D20" s="163"/>
      <c r="E20" s="164"/>
      <c r="F20" s="165"/>
      <c r="G20" s="21"/>
      <c r="H20" s="21"/>
      <c r="I20" s="206"/>
      <c r="J20" s="206"/>
      <c r="K20" s="206"/>
      <c r="L20" s="206"/>
      <c r="M20" s="206"/>
    </row>
    <row r="21" spans="1:13" ht="15" customHeight="1">
      <c r="A21" s="5"/>
      <c r="B21" s="22" t="s">
        <v>58</v>
      </c>
      <c r="C21" s="24">
        <v>2.5000000000000001E-2</v>
      </c>
      <c r="D21" s="163"/>
      <c r="E21" s="163"/>
      <c r="F21" s="165"/>
      <c r="G21" s="21"/>
      <c r="H21" s="212"/>
      <c r="I21" s="206"/>
      <c r="J21" s="206"/>
      <c r="K21" s="206"/>
      <c r="L21" s="206"/>
      <c r="M21" s="206"/>
    </row>
    <row r="22" spans="1:13" ht="15" customHeight="1">
      <c r="A22" s="5"/>
      <c r="B22" s="22" t="s">
        <v>59</v>
      </c>
      <c r="C22" s="96">
        <v>50000</v>
      </c>
      <c r="D22" s="166"/>
      <c r="E22" s="166"/>
      <c r="F22" s="167"/>
      <c r="G22" s="21"/>
      <c r="H22" s="21"/>
      <c r="I22" s="213"/>
      <c r="J22" s="206"/>
      <c r="K22" s="206"/>
      <c r="L22" s="206"/>
      <c r="M22" s="206"/>
    </row>
    <row r="23" spans="1:13" ht="15" customHeight="1">
      <c r="A23" s="5"/>
      <c r="B23" s="7" t="s">
        <v>60</v>
      </c>
      <c r="C23" s="20">
        <v>1</v>
      </c>
      <c r="D23" s="166"/>
      <c r="E23" s="166"/>
      <c r="F23" s="167"/>
      <c r="G23" s="21"/>
      <c r="H23" s="21"/>
      <c r="I23" s="213"/>
      <c r="J23" s="214"/>
      <c r="K23" s="206"/>
      <c r="L23" s="206"/>
      <c r="M23" s="206"/>
    </row>
    <row r="24" spans="1:13" ht="15" customHeight="1">
      <c r="A24" s="5"/>
      <c r="B24" s="8" t="s">
        <v>61</v>
      </c>
      <c r="C24" s="11">
        <v>1</v>
      </c>
      <c r="D24" s="200"/>
      <c r="E24" s="200"/>
      <c r="F24" s="201"/>
      <c r="G24" s="21"/>
      <c r="H24" s="21"/>
      <c r="I24" s="213"/>
      <c r="J24" s="215"/>
      <c r="K24" s="206"/>
      <c r="L24" s="206"/>
      <c r="M24" s="206"/>
    </row>
    <row r="25" spans="1:13" ht="15" customHeight="1">
      <c r="A25" s="5"/>
      <c r="B25" s="19"/>
      <c r="C25" s="203"/>
      <c r="D25" s="21"/>
      <c r="E25" s="21"/>
      <c r="F25" s="21"/>
      <c r="G25" s="21"/>
      <c r="H25" s="21"/>
      <c r="I25" s="213"/>
      <c r="J25" s="214"/>
      <c r="K25" s="206"/>
      <c r="L25" s="206"/>
      <c r="M25" s="206"/>
    </row>
    <row r="26" spans="1:13" ht="15" customHeight="1">
      <c r="A26" s="5">
        <v>4</v>
      </c>
      <c r="B26" s="232" t="s">
        <v>62</v>
      </c>
      <c r="C26" s="233"/>
      <c r="D26" s="233"/>
      <c r="E26" s="233"/>
      <c r="F26" s="234"/>
      <c r="G26" s="21"/>
      <c r="H26" s="216"/>
      <c r="I26" s="217"/>
      <c r="J26" s="206"/>
      <c r="K26" s="206"/>
      <c r="L26" s="206"/>
      <c r="M26" s="206"/>
    </row>
    <row r="27" spans="1:13" ht="15" customHeight="1">
      <c r="A27" s="5"/>
      <c r="B27" s="58" t="s">
        <v>63</v>
      </c>
      <c r="C27" s="156">
        <v>10</v>
      </c>
      <c r="D27" s="191">
        <f>C27/30</f>
        <v>0.33333333333333331</v>
      </c>
      <c r="E27" s="158"/>
      <c r="F27" s="161"/>
      <c r="G27" s="21"/>
      <c r="H27" s="21"/>
      <c r="I27" s="213"/>
      <c r="J27" s="206"/>
      <c r="K27" s="206"/>
      <c r="L27" s="206"/>
      <c r="M27" s="206"/>
    </row>
    <row r="28" spans="1:13" ht="15" customHeight="1">
      <c r="A28" s="5"/>
      <c r="B28" s="52" t="s">
        <v>8</v>
      </c>
      <c r="C28" s="155">
        <f>S14</f>
        <v>1899120.1199999999</v>
      </c>
      <c r="D28" s="159"/>
      <c r="E28" s="159"/>
      <c r="F28" s="162"/>
      <c r="G28" s="21"/>
      <c r="H28" s="218"/>
      <c r="I28" s="213"/>
      <c r="J28" s="206"/>
      <c r="K28" s="206"/>
      <c r="L28" s="206"/>
      <c r="M28" s="206"/>
    </row>
    <row r="29" spans="1:13" ht="15" customHeight="1">
      <c r="A29" s="5"/>
      <c r="B29" s="52" t="s">
        <v>19</v>
      </c>
      <c r="C29" s="155">
        <f>T14</f>
        <v>3203182.6023999997</v>
      </c>
      <c r="D29" s="159"/>
      <c r="E29" s="159"/>
      <c r="F29" s="162"/>
      <c r="G29" s="21"/>
      <c r="H29" s="21"/>
      <c r="I29" s="95"/>
      <c r="J29" s="205"/>
      <c r="K29" s="205"/>
      <c r="L29" s="206"/>
      <c r="M29" s="206"/>
    </row>
    <row r="30" spans="1:13" ht="15" customHeight="1">
      <c r="A30" s="5"/>
      <c r="B30" s="53" t="s">
        <v>64</v>
      </c>
      <c r="C30" s="157">
        <v>500000</v>
      </c>
      <c r="D30" s="160"/>
      <c r="E30" s="160"/>
      <c r="F30" s="55">
        <f>C28+C29+C30</f>
        <v>5602302.7223999994</v>
      </c>
      <c r="G30" s="21"/>
      <c r="H30" s="21"/>
      <c r="I30" s="219"/>
      <c r="J30" s="206"/>
      <c r="K30" s="204"/>
      <c r="L30" s="206"/>
      <c r="M30" s="206"/>
    </row>
    <row r="31" spans="1:13" ht="15" customHeight="1">
      <c r="A31" s="5"/>
      <c r="B31" s="19"/>
      <c r="C31" s="154"/>
      <c r="D31" s="21"/>
      <c r="E31" s="21"/>
      <c r="F31" s="21"/>
      <c r="G31" s="21"/>
      <c r="H31" s="21"/>
      <c r="I31" s="217"/>
      <c r="J31" s="206"/>
      <c r="K31" s="205"/>
      <c r="L31" s="206"/>
      <c r="M31" s="206"/>
    </row>
    <row r="32" spans="1:13" ht="15" customHeight="1">
      <c r="A32" s="5"/>
      <c r="B32" s="6"/>
      <c r="C32" s="10"/>
      <c r="D32" s="10"/>
      <c r="E32" s="10"/>
      <c r="F32" s="2"/>
      <c r="G32" s="21"/>
      <c r="H32" s="21"/>
      <c r="I32" s="219"/>
      <c r="J32" s="206"/>
      <c r="K32" s="204"/>
      <c r="L32" s="206"/>
      <c r="M32" s="206"/>
    </row>
    <row r="33" spans="1:13" ht="15" customHeight="1">
      <c r="A33" s="5">
        <v>5</v>
      </c>
      <c r="B33" s="248" t="s">
        <v>65</v>
      </c>
      <c r="C33" s="249"/>
      <c r="D33" s="249"/>
      <c r="E33" s="249"/>
      <c r="F33" s="250"/>
      <c r="G33" s="21"/>
      <c r="H33" s="21"/>
      <c r="I33" s="219"/>
      <c r="J33" s="206"/>
      <c r="K33" s="206"/>
      <c r="L33" s="206"/>
      <c r="M33" s="206"/>
    </row>
    <row r="34" spans="1:13" ht="15" customHeight="1">
      <c r="A34" s="5"/>
      <c r="B34" s="58" t="s">
        <v>66</v>
      </c>
      <c r="C34" s="153">
        <v>0.03</v>
      </c>
      <c r="D34" s="61"/>
      <c r="E34" s="61"/>
      <c r="F34" s="62"/>
      <c r="G34" s="21"/>
      <c r="H34" s="21"/>
      <c r="I34" s="217"/>
      <c r="J34" s="206"/>
      <c r="K34" s="206"/>
      <c r="L34" s="206"/>
      <c r="M34" s="206"/>
    </row>
    <row r="35" spans="1:13" ht="15" customHeight="1">
      <c r="A35" s="5"/>
      <c r="B35" s="52" t="s">
        <v>67</v>
      </c>
      <c r="C35" s="180">
        <f>C8*D10</f>
        <v>3951594.189689999</v>
      </c>
      <c r="D35" s="21"/>
      <c r="E35" s="223" t="s">
        <v>68</v>
      </c>
      <c r="F35" s="224"/>
      <c r="G35" s="2"/>
      <c r="H35" s="21"/>
      <c r="I35" s="206"/>
      <c r="J35" s="206"/>
      <c r="K35" s="206"/>
      <c r="L35" s="206"/>
      <c r="M35" s="51"/>
    </row>
    <row r="36" spans="1:13" ht="15" customHeight="1">
      <c r="A36" s="5"/>
      <c r="B36" s="52" t="s">
        <v>69</v>
      </c>
      <c r="C36" s="181">
        <f>D14*D16</f>
        <v>11177291.512178997</v>
      </c>
      <c r="D36" s="71"/>
      <c r="E36" s="225">
        <f>SUM(C39:C42)+D41</f>
        <v>-10447569.000454918</v>
      </c>
      <c r="F36" s="226"/>
      <c r="G36" s="2"/>
      <c r="H36" s="2"/>
      <c r="I36" s="50"/>
      <c r="J36" s="51"/>
      <c r="K36" s="51"/>
      <c r="L36" s="51"/>
      <c r="M36" s="51"/>
    </row>
    <row r="37" spans="1:13" ht="15" customHeight="1">
      <c r="A37" s="5"/>
      <c r="B37" s="52" t="s">
        <v>70</v>
      </c>
      <c r="C37" s="182">
        <f>C36*F3/(1+F3)</f>
        <v>2015577.1579339174</v>
      </c>
      <c r="D37" s="138"/>
      <c r="E37" s="139"/>
      <c r="F37" s="140"/>
      <c r="G37" s="2"/>
      <c r="H37" s="2"/>
      <c r="I37" s="50"/>
      <c r="J37" s="51"/>
      <c r="K37" s="51"/>
      <c r="L37" s="51"/>
      <c r="M37" s="51"/>
    </row>
    <row r="38" spans="1:13" ht="15" customHeight="1">
      <c r="A38" s="5"/>
      <c r="B38" s="52" t="s">
        <v>71</v>
      </c>
      <c r="C38" s="181">
        <f>-(C35-(C36-C37))</f>
        <v>5210120.1645550802</v>
      </c>
      <c r="D38" s="139"/>
      <c r="E38" s="139"/>
      <c r="F38" s="140"/>
      <c r="G38" s="2"/>
      <c r="H38" s="2"/>
      <c r="I38" s="101"/>
      <c r="J38" s="51"/>
      <c r="K38" s="51"/>
      <c r="L38" s="51"/>
      <c r="M38" s="51"/>
    </row>
    <row r="39" spans="1:13" ht="15" customHeight="1">
      <c r="A39" s="5"/>
      <c r="B39" s="52" t="s">
        <v>72</v>
      </c>
      <c r="C39" s="181">
        <f>IF(C38&lt;0,-C8*F10,C38-C8*F10)</f>
        <v>-4010266.2780549172</v>
      </c>
      <c r="D39" s="139"/>
      <c r="E39" s="139"/>
      <c r="F39" s="140"/>
      <c r="G39" s="2"/>
      <c r="H39" s="2"/>
      <c r="I39" s="51"/>
      <c r="J39" s="51"/>
      <c r="K39" s="51"/>
      <c r="L39" s="51"/>
      <c r="M39" s="51"/>
    </row>
    <row r="40" spans="1:13" ht="15" customHeight="1">
      <c r="A40" s="5"/>
      <c r="B40" s="52" t="s">
        <v>73</v>
      </c>
      <c r="C40" s="183">
        <f>IF(C38&gt;0,0,C38)</f>
        <v>0</v>
      </c>
      <c r="D40" s="139"/>
      <c r="E40" s="139"/>
      <c r="F40" s="140"/>
      <c r="G40" s="2"/>
      <c r="H40" s="2"/>
      <c r="I40" s="51"/>
      <c r="J40" s="90"/>
      <c r="K40" s="90"/>
      <c r="L40" s="91"/>
      <c r="M40" s="51"/>
    </row>
    <row r="41" spans="1:13" ht="15" customHeight="1">
      <c r="A41" s="5"/>
      <c r="B41" s="52" t="s">
        <v>74</v>
      </c>
      <c r="C41" s="181">
        <f>IF(C39&lt;0,-E19*G13,IF((E19*G13-C39)&lt;0,0,-(E19*G13-C39)))</f>
        <v>-785000.00000000012</v>
      </c>
      <c r="D41" s="183">
        <f>IF(C42&lt;0,-C22,0)</f>
        <v>-50000</v>
      </c>
      <c r="E41" s="185" t="s">
        <v>75</v>
      </c>
      <c r="F41" s="184">
        <f>IF(C39&lt;0,0,IF((E19*G13-C39)&lt;0,C39-E19*G13,0))</f>
        <v>0</v>
      </c>
      <c r="G41" s="2"/>
      <c r="H41" s="2"/>
      <c r="I41" s="49"/>
      <c r="J41" s="49"/>
      <c r="K41" s="49"/>
      <c r="L41" s="50"/>
      <c r="M41" s="50"/>
    </row>
    <row r="42" spans="1:13" ht="15" customHeight="1">
      <c r="A42" s="5"/>
      <c r="B42" s="52" t="s">
        <v>76</v>
      </c>
      <c r="C42" s="183">
        <f>IF(F41&gt;0,F41-F30,-F30)</f>
        <v>-5602302.7223999994</v>
      </c>
      <c r="D42" s="139"/>
      <c r="E42" s="139"/>
      <c r="F42" s="140"/>
      <c r="G42" s="2"/>
      <c r="H42" s="2"/>
      <c r="I42" s="49"/>
      <c r="J42" s="49"/>
      <c r="K42" s="49"/>
      <c r="L42" s="50"/>
      <c r="M42" s="50"/>
    </row>
    <row r="43" spans="1:13" ht="15" customHeight="1">
      <c r="A43" s="5"/>
      <c r="B43" s="58" t="s">
        <v>77</v>
      </c>
      <c r="C43" s="189">
        <f>IF(C38&gt;0,0,C38*C34*(C9+C20+C23+C24))</f>
        <v>0</v>
      </c>
      <c r="D43" s="61"/>
      <c r="E43" s="61"/>
      <c r="F43" s="62"/>
      <c r="G43" s="2"/>
      <c r="H43" s="2"/>
      <c r="I43" s="49"/>
      <c r="J43" s="49"/>
      <c r="K43" s="49"/>
      <c r="L43" s="50"/>
      <c r="M43" s="51"/>
    </row>
    <row r="44" spans="1:13" ht="15" customHeight="1">
      <c r="A44" s="5"/>
      <c r="B44" s="52" t="s">
        <v>78</v>
      </c>
      <c r="C44" s="181">
        <f>IF(C39&gt;0,0,C39*C34*(C23+C24+C20))</f>
        <v>-421077.95919576625</v>
      </c>
      <c r="D44" s="188">
        <f>C41*C34*(C23+C24+C20)+D41*C34*(C23+C24)</f>
        <v>-85425.000000000015</v>
      </c>
      <c r="E44" s="187" t="s">
        <v>79</v>
      </c>
      <c r="F44" s="186">
        <f>E36-C35</f>
        <v>-14399163.190144917</v>
      </c>
      <c r="G44" s="2"/>
      <c r="H44" s="2"/>
      <c r="I44" s="49"/>
      <c r="J44" s="49"/>
      <c r="K44" s="49"/>
      <c r="L44" s="50"/>
      <c r="M44" s="51"/>
    </row>
    <row r="45" spans="1:13" ht="15" customHeight="1">
      <c r="A45" s="5"/>
      <c r="B45" s="52" t="s">
        <v>80</v>
      </c>
      <c r="C45" s="181">
        <f>IF(C42&lt;0,C42*C34*(C23+C24),0)</f>
        <v>-336138.16334399994</v>
      </c>
      <c r="D45" s="21"/>
      <c r="E45" s="21"/>
      <c r="F45" s="27"/>
      <c r="G45" s="2"/>
      <c r="H45" s="2"/>
      <c r="I45" s="49"/>
      <c r="J45" s="49"/>
      <c r="K45" s="49"/>
      <c r="L45" s="50"/>
      <c r="M45" s="51"/>
    </row>
    <row r="46" spans="1:13" ht="15" customHeight="1">
      <c r="A46" s="5"/>
      <c r="B46" s="53" t="s">
        <v>81</v>
      </c>
      <c r="C46" s="190">
        <f>-SUM(C43:D45)</f>
        <v>842641.12253976613</v>
      </c>
      <c r="D46" s="54"/>
      <c r="E46" s="54"/>
      <c r="F46" s="141"/>
      <c r="G46" s="2"/>
      <c r="H46" s="2"/>
      <c r="I46" s="49"/>
      <c r="J46" s="49"/>
      <c r="K46" s="49"/>
      <c r="L46" s="51"/>
      <c r="M46" s="51"/>
    </row>
    <row r="47" spans="1:13" ht="15" customHeight="1" thickBot="1">
      <c r="A47" s="5"/>
      <c r="B47" s="6"/>
      <c r="C47" s="10"/>
      <c r="D47" s="10"/>
      <c r="E47" s="10"/>
      <c r="F47" s="2"/>
      <c r="G47" s="2"/>
      <c r="H47" s="179"/>
      <c r="I47" s="49"/>
      <c r="J47" s="49"/>
      <c r="K47" s="49"/>
      <c r="L47" s="51"/>
      <c r="M47" s="51"/>
    </row>
    <row r="48" spans="1:13" ht="15" customHeight="1" thickBot="1">
      <c r="A48" s="5">
        <v>6</v>
      </c>
      <c r="B48" s="235" t="s">
        <v>82</v>
      </c>
      <c r="C48" s="236"/>
      <c r="D48" s="236"/>
      <c r="E48" s="236"/>
      <c r="F48" s="237"/>
      <c r="G48" s="2"/>
      <c r="H48" s="2"/>
      <c r="I48" s="51"/>
      <c r="J48" s="51"/>
      <c r="K48" s="51"/>
      <c r="L48" s="51"/>
      <c r="M48" s="51"/>
    </row>
    <row r="49" spans="1:8" ht="15" customHeight="1">
      <c r="A49" s="5"/>
      <c r="B49" s="58" t="s">
        <v>83</v>
      </c>
      <c r="C49" s="193">
        <f>D14*D49</f>
        <v>745152.76747859991</v>
      </c>
      <c r="D49" s="202">
        <v>0.02</v>
      </c>
      <c r="E49" s="61"/>
      <c r="F49" s="62"/>
      <c r="G49" s="2"/>
      <c r="H49" s="2"/>
    </row>
    <row r="50" spans="1:8" ht="15" customHeight="1">
      <c r="A50" s="5"/>
      <c r="B50" s="52" t="s">
        <v>84</v>
      </c>
      <c r="C50" s="192">
        <f>E50</f>
        <v>3053904.7847483605</v>
      </c>
      <c r="D50" s="64">
        <v>0.1</v>
      </c>
      <c r="E50" s="95">
        <f>D14/(1+F3)*D50</f>
        <v>3053904.7847483605</v>
      </c>
      <c r="F50" s="78"/>
      <c r="G50" s="12"/>
      <c r="H50" s="4"/>
    </row>
    <row r="51" spans="1:8" ht="15" customHeight="1">
      <c r="A51" s="5"/>
      <c r="B51" s="52" t="s">
        <v>85</v>
      </c>
      <c r="C51" s="96">
        <v>0</v>
      </c>
      <c r="D51" s="21"/>
      <c r="E51" s="21"/>
      <c r="F51" s="27"/>
      <c r="G51" s="13"/>
      <c r="H51" s="4"/>
    </row>
    <row r="52" spans="1:8" ht="15" customHeight="1" thickBot="1">
      <c r="A52" s="5"/>
      <c r="B52" s="53" t="s">
        <v>86</v>
      </c>
      <c r="C52" s="194">
        <f>SUM(C49:C51)</f>
        <v>3799057.5522269607</v>
      </c>
      <c r="D52" s="67"/>
      <c r="E52" s="54"/>
      <c r="F52" s="68"/>
      <c r="G52" s="4"/>
      <c r="H52" s="4"/>
    </row>
    <row r="53" spans="1:8" ht="15" customHeight="1" thickBot="1">
      <c r="A53" s="3"/>
      <c r="B53" s="4"/>
      <c r="C53" s="14"/>
      <c r="D53" s="14"/>
      <c r="E53" s="4"/>
      <c r="F53" s="4"/>
      <c r="G53" s="3"/>
      <c r="H53" s="4"/>
    </row>
    <row r="54" spans="1:8" ht="15" customHeight="1" thickBot="1">
      <c r="A54" s="3"/>
      <c r="B54" s="235" t="s">
        <v>87</v>
      </c>
      <c r="C54" s="236"/>
      <c r="D54" s="236"/>
      <c r="E54" s="236"/>
      <c r="F54" s="237"/>
      <c r="G54" s="14"/>
      <c r="H54" s="4"/>
    </row>
    <row r="55" spans="1:8" ht="15" customHeight="1">
      <c r="A55" s="3"/>
      <c r="B55" s="58" t="s">
        <v>88</v>
      </c>
      <c r="C55" s="59">
        <f>D14-(F30+C8+C46+C22+E19*G13+C52)</f>
        <v>13006656.34446327</v>
      </c>
      <c r="D55" s="60"/>
      <c r="E55" s="61"/>
      <c r="F55" s="62"/>
      <c r="G55" s="3"/>
      <c r="H55" s="4"/>
    </row>
    <row r="56" spans="1:8" ht="15" customHeight="1" thickBot="1">
      <c r="A56" s="3"/>
      <c r="B56" s="52" t="s">
        <v>89</v>
      </c>
      <c r="C56" s="63">
        <f>C55/(1+F3)</f>
        <v>10661193.724969894</v>
      </c>
      <c r="D56" s="64"/>
      <c r="E56" s="21"/>
      <c r="F56" s="27"/>
      <c r="G56" s="3"/>
      <c r="H56" s="4"/>
    </row>
    <row r="57" spans="1:8" ht="15" customHeight="1" thickBot="1">
      <c r="A57" s="3"/>
      <c r="B57" s="52"/>
      <c r="C57" s="65"/>
      <c r="D57" s="64"/>
      <c r="E57" s="75" t="s">
        <v>90</v>
      </c>
      <c r="F57" s="76" t="s">
        <v>91</v>
      </c>
      <c r="G57" s="3"/>
      <c r="H57" s="51"/>
    </row>
    <row r="58" spans="1:8" ht="30" customHeight="1" thickBot="1">
      <c r="A58" s="3"/>
      <c r="B58" s="52" t="s">
        <v>92</v>
      </c>
      <c r="C58" s="69">
        <f>C56/1.25</f>
        <v>8528954.9799759146</v>
      </c>
      <c r="D58" s="64"/>
      <c r="E58" s="72">
        <v>0.9</v>
      </c>
      <c r="F58" s="74">
        <f>C8+F30+C22+E19*G13</f>
        <v>19609283.354699995</v>
      </c>
      <c r="G58" s="3"/>
      <c r="H58" s="51"/>
    </row>
    <row r="59" spans="1:8" ht="15" customHeight="1">
      <c r="A59" s="3"/>
      <c r="B59" s="52"/>
      <c r="C59" s="65"/>
      <c r="D59" s="64"/>
      <c r="E59" s="21"/>
      <c r="F59" s="92"/>
      <c r="G59" s="3"/>
      <c r="H59" s="4"/>
    </row>
    <row r="60" spans="1:8" ht="15" customHeight="1">
      <c r="A60" s="3"/>
      <c r="B60" s="52" t="s">
        <v>93</v>
      </c>
      <c r="C60" s="70">
        <f>C58/(D14/1.2)</f>
        <v>0.27470195167100497</v>
      </c>
      <c r="D60" s="64"/>
      <c r="E60" s="21"/>
      <c r="F60" s="93"/>
      <c r="G60" s="3"/>
      <c r="H60" s="4"/>
    </row>
    <row r="61" spans="1:8" ht="15" customHeight="1">
      <c r="A61" s="3"/>
      <c r="B61" s="52"/>
      <c r="C61" s="65"/>
      <c r="D61" s="64"/>
      <c r="E61" s="21"/>
      <c r="F61" s="93"/>
      <c r="G61" s="3"/>
      <c r="H61" s="4"/>
    </row>
    <row r="62" spans="1:8" ht="15" customHeight="1" thickBot="1">
      <c r="A62" s="3"/>
      <c r="B62" s="52" t="s">
        <v>94</v>
      </c>
      <c r="C62" s="70">
        <f>C50/C58</f>
        <v>0.35806318498787348</v>
      </c>
      <c r="D62" s="64"/>
      <c r="E62" s="21"/>
      <c r="F62" s="94"/>
      <c r="G62" s="3"/>
      <c r="H62" s="4"/>
    </row>
    <row r="63" spans="1:8" ht="15" customHeight="1" thickBot="1">
      <c r="A63" s="3"/>
      <c r="B63" s="53"/>
      <c r="C63" s="66"/>
      <c r="D63" s="67"/>
      <c r="E63" s="54"/>
      <c r="F63" s="74">
        <f>D14-F58</f>
        <v>17648355.019229997</v>
      </c>
      <c r="G63" s="14"/>
      <c r="H63" s="15"/>
    </row>
    <row r="64" spans="1:8" ht="15" customHeight="1">
      <c r="A64" s="3"/>
      <c r="B64" s="211"/>
      <c r="C64" s="211"/>
      <c r="D64" s="4"/>
      <c r="E64" s="4"/>
      <c r="F64" s="4"/>
      <c r="G64" s="4"/>
      <c r="H64" s="4"/>
    </row>
    <row r="65" spans="1:8" ht="15" customHeight="1">
      <c r="A65" s="209"/>
      <c r="B65" s="229"/>
      <c r="C65" s="229"/>
      <c r="D65" s="210"/>
      <c r="E65" s="195"/>
      <c r="F65" s="195"/>
      <c r="G65" s="4"/>
      <c r="H65" s="4"/>
    </row>
    <row r="66" spans="1:8" ht="15" customHeight="1">
      <c r="A66" s="206"/>
      <c r="B66" s="204"/>
      <c r="C66" s="205"/>
      <c r="D66" s="206"/>
      <c r="E66" s="51"/>
      <c r="F66" s="51"/>
      <c r="G66" s="51"/>
      <c r="H66" s="51"/>
    </row>
    <row r="67" spans="1:8" ht="15" customHeight="1">
      <c r="A67" s="206"/>
      <c r="B67" s="204"/>
      <c r="C67" s="205"/>
      <c r="D67" s="206"/>
      <c r="E67" s="51"/>
      <c r="F67" s="51"/>
      <c r="G67" s="51"/>
      <c r="H67" s="51"/>
    </row>
    <row r="68" spans="1:8" ht="15" customHeight="1">
      <c r="A68" s="206"/>
      <c r="B68" s="204"/>
      <c r="C68" s="205"/>
      <c r="D68" s="206"/>
      <c r="E68" s="51"/>
      <c r="F68" s="51"/>
      <c r="G68" s="51"/>
      <c r="H68" s="51"/>
    </row>
    <row r="69" spans="1:8" ht="15" customHeight="1">
      <c r="A69" s="206"/>
      <c r="B69" s="206"/>
      <c r="C69" s="206"/>
      <c r="D69" s="206"/>
      <c r="E69" s="51"/>
      <c r="F69" s="51"/>
      <c r="G69" s="51"/>
      <c r="H69" s="51"/>
    </row>
    <row r="70" spans="1:8" ht="15" customHeight="1">
      <c r="A70" s="206"/>
      <c r="B70" s="204"/>
      <c r="C70" s="205"/>
      <c r="D70" s="206"/>
      <c r="E70" s="51"/>
      <c r="F70" s="51"/>
      <c r="G70" s="51"/>
      <c r="H70" s="51"/>
    </row>
    <row r="71" spans="1:8" ht="15" customHeight="1">
      <c r="A71" s="206"/>
      <c r="B71" s="204"/>
      <c r="C71" s="205"/>
      <c r="D71" s="206"/>
      <c r="E71" s="51"/>
      <c r="F71" s="51"/>
      <c r="G71" s="51"/>
      <c r="H71" s="51"/>
    </row>
    <row r="72" spans="1:8" ht="15" customHeight="1">
      <c r="A72" s="206"/>
      <c r="B72" s="206"/>
      <c r="C72" s="206"/>
      <c r="D72" s="206"/>
      <c r="E72" s="51"/>
      <c r="F72" s="51"/>
      <c r="G72" s="51"/>
      <c r="H72" s="51"/>
    </row>
    <row r="73" spans="1:8" ht="15" customHeight="1">
      <c r="A73" s="206"/>
      <c r="B73" s="204"/>
      <c r="C73" s="205"/>
      <c r="D73" s="206"/>
      <c r="E73" s="51"/>
      <c r="F73" s="51"/>
      <c r="G73" s="51"/>
      <c r="H73" s="51"/>
    </row>
    <row r="74" spans="1:8" ht="15" customHeight="1">
      <c r="A74" s="206"/>
      <c r="B74" s="204"/>
      <c r="C74" s="207"/>
      <c r="D74" s="206"/>
      <c r="E74" s="51"/>
      <c r="F74" s="51"/>
      <c r="G74" s="51"/>
      <c r="H74" s="51"/>
    </row>
    <row r="75" spans="1:8" ht="15" customHeight="1">
      <c r="A75" s="206"/>
      <c r="B75" s="206"/>
      <c r="C75" s="206"/>
      <c r="D75" s="206"/>
      <c r="E75" s="51"/>
      <c r="F75" s="51"/>
      <c r="G75" s="51"/>
      <c r="H75" s="51"/>
    </row>
    <row r="76" spans="1:8" ht="15" customHeight="1">
      <c r="A76" s="206"/>
      <c r="B76" s="204"/>
      <c r="C76" s="208"/>
      <c r="D76" s="206"/>
      <c r="E76" s="51"/>
      <c r="F76" s="51"/>
      <c r="G76" s="51"/>
      <c r="H76" s="51"/>
    </row>
    <row r="77" spans="1:8" ht="15" customHeight="1">
      <c r="A77" s="206"/>
      <c r="B77" s="19"/>
      <c r="C77" s="208"/>
      <c r="D77" s="206"/>
      <c r="E77" s="51"/>
      <c r="F77" s="51"/>
      <c r="G77" s="51"/>
      <c r="H77" s="51"/>
    </row>
    <row r="78" spans="1:8" ht="15" customHeight="1">
      <c r="A78" s="51"/>
      <c r="B78" s="206"/>
      <c r="C78" s="206"/>
      <c r="D78" s="51"/>
      <c r="E78" s="51"/>
      <c r="F78" s="51"/>
      <c r="G78" s="51"/>
      <c r="H78" s="51"/>
    </row>
  </sheetData>
  <mergeCells count="15">
    <mergeCell ref="M1:P1"/>
    <mergeCell ref="E35:F35"/>
    <mergeCell ref="E36:F36"/>
    <mergeCell ref="G3:H3"/>
    <mergeCell ref="B65:C65"/>
    <mergeCell ref="I14:K14"/>
    <mergeCell ref="B26:F26"/>
    <mergeCell ref="B54:F54"/>
    <mergeCell ref="B1:F2"/>
    <mergeCell ref="G1:H2"/>
    <mergeCell ref="B4:F4"/>
    <mergeCell ref="B12:F12"/>
    <mergeCell ref="B18:F18"/>
    <mergeCell ref="B33:F33"/>
    <mergeCell ref="B48:F48"/>
  </mergeCells>
  <phoneticPr fontId="9" type="noConversion"/>
  <dataValidations disablePrompts="1" count="2">
    <dataValidation type="list" allowBlank="1" showInputMessage="1" showErrorMessage="1" sqref="C6 D19 Y2" xr:uid="{C9125241-DA88-894A-B7F0-3DB6679187C7}">
      <formula1>$G$6:$G$11</formula1>
    </dataValidation>
    <dataValidation type="list" allowBlank="1" showInputMessage="1" showErrorMessage="1" sqref="C13" xr:uid="{5498501C-A748-0B48-A57B-850915255D1E}">
      <formula1>$G$7:$G$11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Картушина Татьяна Викторовна</dc:creator>
  <cp:keywords/>
  <dc:description/>
  <cp:lastModifiedBy/>
  <cp:revision/>
  <dcterms:created xsi:type="dcterms:W3CDTF">2019-10-14T13:53:07Z</dcterms:created>
  <dcterms:modified xsi:type="dcterms:W3CDTF">2025-12-11T13:46:48Z</dcterms:modified>
  <cp:category/>
  <cp:contentStatus/>
</cp:coreProperties>
</file>